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dd45baaf9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s Deslocamento" sheetId="1" r:id="Rb19198489c8640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%"/>
    <x:numFmt numFmtId="201" formatCode="0.000000"/>
    <x:numFmt numFmtId="202" formatCode="&quot;R$&quot; #,##0.00"/>
    <x:numFmt numFmtId="203" formatCode="#,##0.00"/>
  </x:numFmts>
  <x:fonts count="13">
    <x:font>
      <x:sz val="11"/>
      <x:name val="Carlito"/>
    </x:font>
    <x:font>
      <x:b/>
      <x:sz val="18"/>
      <x:color rgb="FFFFC400"/>
      <x:name val="Aptos Display"/>
    </x:font>
    <x:font>
      <x:i/>
      <x:sz val="10"/>
      <x:color rgb="FFFFFFFF"/>
      <x:name val="Aptos"/>
    </x:font>
    <x:font>
      <x:b/>
      <x:sz val="10"/>
      <x:color rgb="FFFFFFFF"/>
      <x:name val="Aptos"/>
    </x:font>
    <x:font>
      <x:sz val="10"/>
      <x:color rgb="FF171717"/>
      <x:name val="Aptos"/>
    </x:font>
    <x:font>
      <x:b/>
      <x:sz val="10"/>
      <x:color rgb="FF1D4ED8"/>
      <x:name val="Aptos"/>
    </x:font>
    <x:font>
      <x:b/>
      <x:sz val="10"/>
      <x:color rgb="FF171717"/>
      <x:name val="Aptos"/>
    </x:font>
    <x:font>
      <x:b/>
      <x:sz val="14"/>
      <x:color rgb="FF171717"/>
      <x:name val="Aptos Display"/>
    </x:font>
    <x:font>
      <x:sz val="10"/>
      <x:color rgb="FF374151"/>
      <x:name val="Aptos"/>
    </x:font>
    <x:font>
      <x:sz val="10"/>
      <x:color rgb="FF1D4ED8"/>
      <x:name val="Aptos"/>
    </x:font>
    <x:font>
      <x:sz val="9"/>
      <x:color rgb="FF6B7280"/>
      <x:name val="Aptos"/>
    </x:font>
    <x:font>
      <x:b/>
      <x:sz val="10"/>
      <x:color rgb="FF374151"/>
      <x:name val="Aptos"/>
    </x:font>
    <x:font>
      <x:i/>
      <x:sz val="9"/>
      <x:color rgb="FF6B728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292929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FFF7D6"/>
      </x:patternFill>
    </x:fill>
    <x:fill>
      <x:patternFill patternType="solid">
        <x:fgColor rgb="FFE8F5E9"/>
      </x:patternFill>
    </x:fill>
    <x:fill>
      <x:patternFill patternType="solid">
        <x:fgColor rgb="FFFFC400"/>
      </x:patternFill>
    </x:fill>
  </x:fills>
  <x:borders count="18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A7C7A9"/>
      </x:left>
      <x:top style="thin">
        <x:color rgb="FFA7C7A9"/>
      </x:top>
      <x:bottom style="thin">
        <x:color rgb="FFA7C7A9"/>
      </x:bottom>
    </x:border>
    <x:border>
      <x:top style="thin">
        <x:color rgb="FFA7C7A9"/>
      </x:top>
      <x:bottom style="thin">
        <x:color rgb="FFA7C7A9"/>
      </x:bottom>
    </x:border>
    <x:border>
      <x:right style="thin">
        <x:color rgb="FFA7C7A9"/>
      </x:right>
      <x:top style="thin">
        <x:color rgb="FFA7C7A9"/>
      </x:top>
      <x:bottom style="thin">
        <x:color rgb="FFA7C7A9"/>
      </x:bottom>
    </x:border>
    <x:border>
      <x:left style="medium">
        <x:color rgb="FF171717"/>
      </x:left>
      <x:top style="medium">
        <x:color rgb="FF171717"/>
      </x:top>
      <x:bottom style="medium">
        <x:color rgb="FF171717"/>
      </x:bottom>
    </x:border>
    <x:border>
      <x:top style="medium">
        <x:color rgb="FF171717"/>
      </x:top>
      <x:bottom style="medium">
        <x:color rgb="FF171717"/>
      </x:bottom>
    </x:border>
    <x:border>
      <x:right style="medium">
        <x:color rgb="FF171717"/>
      </x:right>
      <x:top style="medium">
        <x:color rgb="FF171717"/>
      </x:top>
      <x:bottom style="medium">
        <x:color rgb="FF171717"/>
      </x:bottom>
    </x:border>
    <x:border>
      <x:bottom style="medium">
        <x:color rgb="FFFFC400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top style="medium">
        <x:color rgb="FFFFC400"/>
      </x:top>
    </x:border>
    <x:border>
      <x:left style="thin">
        <x:color rgb="FFE5C44E"/>
      </x:left>
      <x:top style="thin">
        <x:color rgb="FFE5C44E"/>
      </x:top>
      <x:bottom style="thin">
        <x:color rgb="FFE5C44E"/>
      </x:bottom>
    </x:border>
    <x:border>
      <x:top style="thin">
        <x:color rgb="FFE5C44E"/>
      </x:top>
      <x:bottom style="thin">
        <x:color rgb="FFE5C44E"/>
      </x:bottom>
    </x:border>
    <x:border>
      <x:right style="thin">
        <x:color rgb="FFE5C44E"/>
      </x:right>
      <x:top style="thin">
        <x:color rgb="FFE5C44E"/>
      </x:top>
      <x:bottom style="thin">
        <x:color rgb="FFE5C44E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200" fontId="5" fillId="6" borderId="2" xfId="0" applyNumberFormat="1" applyFont="1" applyFill="1" applyBorder="1" applyAlignment="1">
      <x:alignment vertical="center"/>
    </x:xf>
    <x:xf numFmtId="200" fontId="5" fillId="6" borderId="2" xfId="0" applyNumberFormat="1" applyFont="1" applyFill="1" applyBorder="1" applyAlignment="1">
      <x:alignment horizontal="right" vertical="center"/>
    </x:xf>
    <x:xf numFmtId="0" fontId="4" fillId="7" borderId="3" xfId="0" applyNumberFormat="1" applyFont="1" applyFill="1" applyBorder="1" applyAlignment="1">
      <x:alignment vertical="center"/>
    </x:xf>
    <x:xf numFmtId="0" fontId="6" fillId="7" borderId="3" xfId="0" applyNumberFormat="1" applyFont="1" applyFill="1" applyBorder="1" applyAlignment="1">
      <x:alignment vertical="center"/>
    </x:xf>
    <x:xf numFmtId="201" fontId="6" fillId="7" borderId="3" xfId="0" applyNumberFormat="1" applyFont="1" applyFill="1" applyBorder="1" applyAlignment="1">
      <x:alignment vertical="center"/>
    </x:xf>
    <x:xf numFmtId="201" fontId="6" fillId="7" borderId="3" xfId="0" applyNumberFormat="1" applyFont="1" applyFill="1" applyBorder="1" applyAlignment="1">
      <x:alignment horizontal="right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202" fontId="7" fillId="7" borderId="4" xfId="0" applyNumberFormat="1" applyFont="1" applyFill="1" applyBorder="1"/>
    <x:xf numFmtId="202" fontId="7" fillId="7" borderId="5" xfId="0" applyNumberFormat="1" applyFont="1" applyFill="1" applyBorder="1"/>
    <x:xf numFmtId="202" fontId="7" fillId="7" borderId="6" xfId="0" applyNumberFormat="1" applyFont="1" applyFill="1" applyBorder="1"/>
    <x:xf numFmtId="202" fontId="7" fillId="7" borderId="4" xfId="0" applyNumberFormat="1" applyFont="1" applyFill="1" applyBorder="1" applyAlignment="1">
      <x:alignment horizontal="center"/>
    </x:xf>
    <x:xf numFmtId="202" fontId="7" fillId="7" borderId="5" xfId="0" applyNumberFormat="1" applyFont="1" applyFill="1" applyBorder="1" applyAlignment="1">
      <x:alignment horizontal="center"/>
    </x:xf>
    <x:xf numFmtId="202" fontId="7" fillId="7" borderId="6" xfId="0" applyNumberFormat="1" applyFont="1" applyFill="1" applyBorder="1" applyAlignment="1">
      <x:alignment horizontal="center"/>
    </x:xf>
    <x:xf numFmtId="202" fontId="7" fillId="7" borderId="4" xfId="0" applyNumberFormat="1" applyFont="1" applyFill="1" applyBorder="1" applyAlignment="1">
      <x:alignment horizontal="center" vertical="center"/>
    </x:xf>
    <x:xf numFmtId="202" fontId="7" fillId="7" borderId="5" xfId="0" applyNumberFormat="1" applyFont="1" applyFill="1" applyBorder="1" applyAlignment="1">
      <x:alignment horizontal="center" vertical="center"/>
    </x:xf>
    <x:xf numFmtId="202" fontId="7" fillId="7" borderId="6" xfId="0" applyNumberFormat="1" applyFont="1" applyFill="1" applyBorder="1" applyAlignment="1">
      <x:alignment horizontal="center" vertical="center"/>
    </x:xf>
    <x:xf numFmtId="202" fontId="7" fillId="8" borderId="5" xfId="0" applyNumberFormat="1" applyFont="1" applyFill="1" applyBorder="1" applyAlignment="1">
      <x:alignment horizontal="center" vertical="center"/>
    </x:xf>
    <x:xf numFmtId="202" fontId="7" fillId="8" borderId="6" xfId="0" applyNumberFormat="1" applyFont="1" applyFill="1" applyBorder="1" applyAlignment="1">
      <x:alignment horizontal="center" vertical="center"/>
    </x:xf>
    <x:xf numFmtId="202" fontId="7" fillId="8" borderId="7" xfId="0" applyNumberFormat="1" applyFont="1" applyFill="1" applyBorder="1" applyAlignment="1">
      <x:alignment horizontal="center" vertical="center"/>
    </x:xf>
    <x:xf numFmtId="202" fontId="7" fillId="8" borderId="8" xfId="0" applyNumberFormat="1" applyFont="1" applyFill="1" applyBorder="1" applyAlignment="1">
      <x:alignment horizontal="center" vertical="center"/>
    </x:xf>
    <x:xf numFmtId="202" fontId="7" fillId="8" borderId="9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10" xfId="0" applyNumberFormat="1" applyFont="1" applyFill="1" applyBorder="1"/>
    <x:xf numFmtId="0" fontId="3" fillId="2" borderId="10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horizont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8" fillId="0" borderId="11" xfId="0" applyNumberFormat="1" applyFont="1" applyFill="1" applyBorder="1" applyAlignment="1">
      <x:alignment vertical="center"/>
    </x:xf>
    <x:xf numFmtId="0" fontId="8" fillId="0" borderId="12" xfId="0" applyNumberFormat="1" applyFont="1" applyFill="1" applyBorder="1" applyAlignment="1">
      <x:alignment vertical="center"/>
    </x:xf>
    <x:xf numFmtId="0" fontId="8" fillId="0" borderId="13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6" borderId="11" xfId="0" applyNumberFormat="1" applyFont="1" applyFill="1" applyBorder="1" applyAlignment="1">
      <x:alignment vertical="center"/>
    </x:xf>
    <x:xf numFmtId="0" fontId="4" fillId="6" borderId="12" xfId="0" applyNumberFormat="1" applyFont="1" applyFill="1" applyBorder="1" applyAlignment="1">
      <x:alignment vertical="center"/>
    </x:xf>
    <x:xf numFmtId="0" fontId="4" fillId="6" borderId="13" xfId="0" applyNumberFormat="1" applyFont="1" applyFill="1" applyBorder="1" applyAlignment="1">
      <x:alignment vertical="center"/>
    </x:xf>
    <x:xf numFmtId="0" fontId="9" fillId="6" borderId="11" xfId="0" applyNumberFormat="1" applyFont="1" applyFill="1" applyBorder="1" applyAlignment="1">
      <x:alignment vertical="center"/>
    </x:xf>
    <x:xf numFmtId="0" fontId="9" fillId="6" borderId="12" xfId="0" applyNumberFormat="1" applyFont="1" applyFill="1" applyBorder="1" applyAlignment="1">
      <x:alignment vertical="center"/>
    </x:xf>
    <x:xf numFmtId="0" fontId="9" fillId="6" borderId="13" xfId="0" applyNumberFormat="1" applyFont="1" applyFill="1" applyBorder="1" applyAlignment="1">
      <x:alignment vertical="center"/>
    </x:xf>
    <x:xf numFmtId="0" fontId="9" fillId="6" borderId="11" xfId="0" applyNumberFormat="1" applyFont="1" applyFill="1" applyBorder="1" applyAlignment="1">
      <x:alignment horizontal="right" vertical="center"/>
    </x:xf>
    <x:xf numFmtId="0" fontId="9" fillId="6" borderId="12" xfId="0" applyNumberFormat="1" applyFont="1" applyFill="1" applyBorder="1" applyAlignment="1">
      <x:alignment horizontal="right" vertical="center"/>
    </x:xf>
    <x:xf numFmtId="0" fontId="9" fillId="6" borderId="13" xfId="0" applyNumberFormat="1" applyFont="1" applyFill="1" applyBorder="1" applyAlignment="1">
      <x:alignment horizontal="right" vertical="center"/>
    </x:xf>
    <x:xf numFmtId="0" fontId="4" fillId="5" borderId="11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4" fillId="5" borderId="13" xfId="0" applyNumberFormat="1" applyFont="1" applyFill="1" applyBorder="1" applyAlignment="1">
      <x:alignment vertical="center"/>
    </x:xf>
    <x:xf numFmtId="0" fontId="4" fillId="7" borderId="11" xfId="0" applyNumberFormat="1" applyFont="1" applyFill="1" applyBorder="1" applyAlignment="1">
      <x:alignment vertical="center"/>
    </x:xf>
    <x:xf numFmtId="0" fontId="4" fillId="7" borderId="12" xfId="0" applyNumberFormat="1" applyFont="1" applyFill="1" applyBorder="1" applyAlignment="1">
      <x:alignment vertical="center"/>
    </x:xf>
    <x:xf numFmtId="0" fontId="4" fillId="7" borderId="13" xfId="0" applyNumberFormat="1" applyFont="1" applyFill="1" applyBorder="1" applyAlignment="1">
      <x:alignment vertical="center"/>
    </x:xf>
    <x:xf numFmtId="203" fontId="9" fillId="6" borderId="11" xfId="0" applyNumberFormat="1" applyFont="1" applyFill="1" applyBorder="1" applyAlignment="1">
      <x:alignment horizontal="right" vertical="center"/>
    </x:xf>
    <x:xf numFmtId="203" fontId="9" fillId="6" borderId="12" xfId="0" applyNumberFormat="1" applyFont="1" applyFill="1" applyBorder="1" applyAlignment="1">
      <x:alignment horizontal="right" vertical="center"/>
    </x:xf>
    <x:xf numFmtId="203" fontId="9" fillId="6" borderId="13" xfId="0" applyNumberFormat="1" applyFont="1" applyFill="1" applyBorder="1" applyAlignment="1">
      <x:alignment horizontal="right" vertical="center"/>
    </x:xf>
    <x:xf numFmtId="202" fontId="9" fillId="6" borderId="11" xfId="0" applyNumberFormat="1" applyFont="1" applyFill="1" applyBorder="1" applyAlignment="1">
      <x:alignment horizontal="right" vertical="center"/>
    </x:xf>
    <x:xf numFmtId="202" fontId="4" fillId="5" borderId="11" xfId="0" applyNumberFormat="1" applyFont="1" applyFill="1" applyBorder="1" applyAlignment="1">
      <x:alignment vertical="center"/>
    </x:xf>
    <x:xf numFmtId="202" fontId="4" fillId="7" borderId="11" xfId="0" applyNumberFormat="1" applyFont="1" applyFill="1" applyBorder="1" applyAlignment="1">
      <x:alignment vertical="center"/>
    </x:xf>
    <x:xf numFmtId="202" fontId="9" fillId="6" borderId="12" xfId="0" applyNumberFormat="1" applyFont="1" applyFill="1" applyBorder="1" applyAlignment="1">
      <x:alignment horizontal="right" vertical="center"/>
    </x:xf>
    <x:xf numFmtId="202" fontId="4" fillId="5" borderId="12" xfId="0" applyNumberFormat="1" applyFont="1" applyFill="1" applyBorder="1" applyAlignment="1">
      <x:alignment vertical="center"/>
    </x:xf>
    <x:xf numFmtId="202" fontId="4" fillId="7" borderId="12" xfId="0" applyNumberFormat="1" applyFont="1" applyFill="1" applyBorder="1" applyAlignment="1">
      <x:alignment vertical="center"/>
    </x:xf>
    <x:xf numFmtId="202" fontId="9" fillId="6" borderId="13" xfId="0" applyNumberFormat="1" applyFont="1" applyFill="1" applyBorder="1" applyAlignment="1">
      <x:alignment horizontal="right" vertical="center"/>
    </x:xf>
    <x:xf numFmtId="202" fontId="4" fillId="5" borderId="13" xfId="0" applyNumberFormat="1" applyFont="1" applyFill="1" applyBorder="1" applyAlignment="1">
      <x:alignment vertical="center"/>
    </x:xf>
    <x:xf numFmtId="202" fontId="4" fillId="7" borderId="13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 applyAlignment="1">
      <x:alignment vertical="center"/>
    </x:xf>
    <x:xf numFmtId="0" fontId="10" fillId="0" borderId="12" xfId="0" applyNumberFormat="1" applyFont="1" applyFill="1" applyBorder="1" applyAlignment="1">
      <x:alignment vertical="center"/>
    </x:xf>
    <x:xf numFmtId="0" fontId="10" fillId="0" borderId="13" xfId="0" applyNumberFormat="1" applyFont="1" applyFill="1" applyBorder="1" applyAlignment="1">
      <x:alignment vertical="center"/>
    </x:xf>
    <x:xf numFmtId="0" fontId="3" fillId="2" borderId="14" xfId="0" applyNumberFormat="1" applyFont="1" applyFill="1" applyBorder="1"/>
    <x:xf numFmtId="0" fontId="3" fillId="2" borderId="14" xfId="0" applyNumberFormat="1" applyFont="1" applyFill="1" applyBorder="1" applyAlignment="1">
      <x:alignment vertical="center"/>
    </x:xf>
    <x:xf numFmtId="0" fontId="3" fillId="2" borderId="14" xfId="0" applyNumberFormat="1" applyFont="1" applyFill="1" applyBorder="1" applyAlignment="1">
      <x:alignment horizontal="right" vertical="center"/>
    </x:xf>
    <x:xf numFmtId="202" fontId="3" fillId="2" borderId="14" xfId="0" applyNumberFormat="1" applyFont="1" applyFill="1" applyBorder="1" applyAlignment="1">
      <x:alignment vertical="center"/>
    </x:xf>
    <x:xf numFmtId="0" fontId="3" fillId="2" borderId="1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15" xfId="0" applyNumberFormat="1" applyFont="1" applyFill="1" applyBorder="1"/>
    <x:xf numFmtId="0" fontId="11" fillId="6" borderId="16" xfId="0" applyNumberFormat="1" applyFont="1" applyFill="1" applyBorder="1"/>
    <x:xf numFmtId="0" fontId="11" fillId="6" borderId="17" xfId="0" applyNumberFormat="1" applyFont="1" applyFill="1" applyBorder="1"/>
    <x:xf numFmtId="0" fontId="11" fillId="6" borderId="15" xfId="0" applyNumberFormat="1" applyFont="1" applyFill="1" applyBorder="1" applyAlignment="1">
      <x:alignment wrapText="1"/>
    </x:xf>
    <x:xf numFmtId="0" fontId="11" fillId="6" borderId="16" xfId="0" applyNumberFormat="1" applyFont="1" applyFill="1" applyBorder="1" applyAlignment="1">
      <x:alignment wrapText="1"/>
    </x:xf>
    <x:xf numFmtId="0" fontId="11" fillId="6" borderId="17" xfId="0" applyNumberFormat="1" applyFont="1" applyFill="1" applyBorder="1" applyAlignment="1">
      <x:alignment wrapText="1"/>
    </x:xf>
    <x:xf numFmtId="0" fontId="11" fillId="6" borderId="15" xfId="0" applyNumberFormat="1" applyFont="1" applyFill="1" applyBorder="1" applyAlignment="1">
      <x:alignment vertical="center" wrapText="1"/>
    </x:xf>
    <x:xf numFmtId="0" fontId="11" fillId="6" borderId="16" xfId="0" applyNumberFormat="1" applyFont="1" applyFill="1" applyBorder="1" applyAlignment="1">
      <x:alignment vertical="center" wrapText="1"/>
    </x:xf>
    <x:xf numFmtId="0" fontId="11" fillId="6" borderId="17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0919b889c4545" /><Relationship Type="http://schemas.openxmlformats.org/officeDocument/2006/relationships/theme" Target="/xl/theme/theme1.xml" Id="Rdcc4d3e718044648" /><Relationship Type="http://schemas.openxmlformats.org/officeDocument/2006/relationships/sharedStrings" Target="/xl/sharedStrings.xml" Id="R7aa1785660764308" /><Relationship Type="http://schemas.openxmlformats.org/officeDocument/2006/relationships/worksheet" Target="/xl/worksheets/sheet1.xml" Id="Rb19198489c864091" /></Relationships>
</file>

<file path=xl/tables/table1.xml><?xml version="1.0" encoding="utf-8"?>
<x:table xmlns:x="http://schemas.openxmlformats.org/spreadsheetml/2006/main" id="1" name="CustosDeslocamentoBino" displayName="CustosDeslocamentoBino" ref="A8:L15" headerRowCount="1" totalsRowCount="0" totalsRowShown="0">
  <x:autoFilter ref="A8:L15"/>
  <x:tableColumns count="12">
    <x:tableColumn id="1" name="Categoria"/>
    <x:tableColumn id="2" name="Serviço"/>
    <x:tableColumn id="3" name="Unidade"/>
    <x:tableColumn id="4" name="Quantidade"/>
    <x:tableColumn id="5" name="Custo unitário"/>
    <x:tableColumn id="6" name="Valor unit. calculado"/>
    <x:tableColumn id="7" name="Desconto unitário"/>
    <x:tableColumn id="8" name="Custo total"/>
    <x:tableColumn id="9" name="Total bruto"/>
    <x:tableColumn id="10" name="Desconto total"/>
    <x:tableColumn id="11" name="Total líquido"/>
    <x:tableColumn id="12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e60bf570f049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3" hidden="0" customWidth="1"/>
    <x:col min="3" max="3" width="18" hidden="0" customWidth="1"/>
    <x:col min="4" max="4" width="12" hidden="0" customWidth="1"/>
    <x:col min="5" max="5" width="15" hidden="0" customWidth="1"/>
    <x:col min="6" max="6" width="18" hidden="0" customWidth="1"/>
    <x:col min="7" max="7" width="17" hidden="0" customWidth="1"/>
    <x:col min="8" max="8" width="14" hidden="0" customWidth="1"/>
    <x:col min="9" max="9" width="14" hidden="0" customWidth="1"/>
    <x:col min="10" max="10" width="15" hidden="0" customWidth="1"/>
    <x:col min="11" max="11" width="15" hidden="0" customWidth="1"/>
    <x:col min="12" max="12" width="26" hidden="0" customWidth="1"/>
  </x:cols>
  <x:sheetData>
    <x:row r="1" ht="34" customHeight="1">
      <x:c r="A1" s="4" t="str">
        <x:v>CUSTOS DE DESLOCAMENTO E DIÁRIAS — BINO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3" customHeight="1">
      <x:c r="A2" s="8" t="str">
        <x:v>Base extraída da imagem enviada • quantidade inicial: 1 unidade por item • altere as células amarelas para simular uma obra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12" t="str">
        <x:v>PARÂMETROS DO CÁLCULO</x:v>
      </x:c>
      <x:c r="B4" s="12"/>
      <x:c r="C4" s="12"/>
      <x:c r="D4" s="12"/>
      <x:c r="E4" s="30" t="str">
        <x:v>CUSTO-BASE</x:v>
      </x:c>
      <x:c r="F4" s="30"/>
      <x:c r="G4" s="30" t="str">
        <x:v>ACRÉSCIMO</x:v>
      </x:c>
      <x:c r="H4" s="30"/>
      <x:c r="I4" s="30" t="str">
        <x:v>VALOR FINAL</x:v>
      </x:c>
      <x:c r="J4" s="30"/>
      <x:c r="K4" s="30"/>
    </x:row>
    <x:row r="5">
      <x:c r="A5" s="18" t="str">
        <x:v>Acréscimo sobre o custo</x:v>
      </x:c>
      <x:c r="B5" s="24" t="n">
        <x:v>0.4949887935044615</x:v>
      </x:c>
      <x:c r="C5" s="19" t="str">
        <x:v>Fator multiplicador</x:v>
      </x:c>
      <x:c r="D5" s="28" t="n">
        <x:f>1+B5</x:f>
        <x:v>1.4949887935044615</x:v>
      </x:c>
      <x:c r="E5" s="42" t="n">
        <x:f>SUM(H9:H15)</x:f>
        <x:v>1182.35</x:v>
      </x:c>
      <x:c r="F5" s="43"/>
      <x:c r="G5" s="43" t="n">
        <x:f>SUM(K9:K15)-SUM(H9:H15)</x:f>
        <x:v>585.25</x:v>
      </x:c>
      <x:c r="H5" s="43"/>
      <x:c r="I5" s="47" t="n">
        <x:f>SUM(K9:K15)</x:f>
        <x:v>1767.6</x:v>
      </x:c>
      <x:c r="J5" s="48"/>
      <x:c r="K5" s="49"/>
    </x:row>
    <x:row r="8" ht="31" customHeight="1">
      <x:c r="A8" s="54" t="str">
        <x:v>Categoria</x:v>
      </x:c>
      <x:c r="B8" s="54" t="str">
        <x:v>Serviço</x:v>
      </x:c>
      <x:c r="C8" s="54" t="str">
        <x:v>Unidade</x:v>
      </x:c>
      <x:c r="D8" s="54" t="str">
        <x:v>Quantidade</x:v>
      </x:c>
      <x:c r="E8" s="54" t="str">
        <x:v>Custo unitário</x:v>
      </x:c>
      <x:c r="F8" s="54" t="str">
        <x:v>Valor unit. calculado</x:v>
      </x:c>
      <x:c r="G8" s="54" t="str">
        <x:v>Desconto unitário</x:v>
      </x:c>
      <x:c r="H8" s="54" t="str">
        <x:v>Custo total</x:v>
      </x:c>
      <x:c r="I8" s="54" t="str">
        <x:v>Total bruto</x:v>
      </x:c>
      <x:c r="J8" s="54" t="str">
        <x:v>Desconto total</x:v>
      </x:c>
      <x:c r="K8" s="54" t="str">
        <x:v>Total líquido</x:v>
      </x:c>
      <x:c r="L8" s="54" t="str">
        <x:v>Observações</x:v>
      </x:c>
    </x:row>
    <x:row r="9" ht="23" customHeight="1">
      <x:c r="A9" s="62" t="str">
        <x:v>Alimentação</x:v>
      </x:c>
      <x:c r="B9" s="59" t="str">
        <x:v>Despesa Montagem (Almoço)</x:v>
      </x:c>
      <x:c r="C9" s="65" t="str">
        <x:v>refeição</x:v>
      </x:c>
      <x:c r="D9" s="83" t="n">
        <x:v>1</x:v>
      </x:c>
      <x:c r="E9" s="86" t="n">
        <x:v>50</x:v>
      </x:c>
      <x:c r="F9" s="87" t="n">
        <x:f>ROUND(E9*$D$5,2)</x:f>
        <x:v>74.75</x:v>
      </x:c>
      <x:c r="G9" s="86" t="n">
        <x:v>0</x:v>
      </x:c>
      <x:c r="H9" s="88" t="n">
        <x:f>ROUND(D9*E9,2)</x:f>
        <x:v>50</x:v>
      </x:c>
      <x:c r="I9" s="88" t="n">
        <x:f>ROUND(D9*F9,2)</x:f>
        <x:v>74.75</x:v>
      </x:c>
      <x:c r="J9" s="88" t="n">
        <x:f>ROUND(D9*G9,2)</x:f>
        <x:v>0</x:v>
      </x:c>
      <x:c r="K9" s="88" t="n">
        <x:f>I9-J9</x:f>
        <x:v>74.75</x:v>
      </x:c>
      <x:c r="L9" s="95" t="str"/>
    </x:row>
    <x:row r="10" ht="23" customHeight="1">
      <x:c r="A10" s="63" t="str">
        <x:v>Hospedagem</x:v>
      </x:c>
      <x:c r="B10" s="60" t="str">
        <x:v>Despesa Montagem (Hotel)</x:v>
      </x:c>
      <x:c r="C10" s="66" t="str">
        <x:v>diária</x:v>
      </x:c>
      <x:c r="D10" s="84" t="n">
        <x:v>1</x:v>
      </x:c>
      <x:c r="E10" s="89" t="n">
        <x:v>110</x:v>
      </x:c>
      <x:c r="F10" s="90" t="n">
        <x:f>ROUND(E10*$D$5,2)</x:f>
        <x:v>164.45</x:v>
      </x:c>
      <x:c r="G10" s="89" t="n">
        <x:v>0</x:v>
      </x:c>
      <x:c r="H10" s="91" t="n">
        <x:f>ROUND(D10*E10,2)</x:f>
        <x:v>110</x:v>
      </x:c>
      <x:c r="I10" s="91" t="n">
        <x:f>ROUND(D10*F10,2)</x:f>
        <x:v>164.45</x:v>
      </x:c>
      <x:c r="J10" s="91" t="n">
        <x:f>ROUND(D10*G10,2)</x:f>
        <x:v>0</x:v>
      </x:c>
      <x:c r="K10" s="91" t="n">
        <x:f>I10-J10</x:f>
        <x:v>164.45</x:v>
      </x:c>
      <x:c r="L10" s="96" t="str"/>
    </x:row>
    <x:row r="11" ht="23" customHeight="1">
      <x:c r="A11" s="63" t="str">
        <x:v>Alimentação</x:v>
      </x:c>
      <x:c r="B11" s="60" t="str">
        <x:v>Despesa Montagem (Janta)</x:v>
      </x:c>
      <x:c r="C11" s="66" t="str">
        <x:v>refeição</x:v>
      </x:c>
      <x:c r="D11" s="84" t="n">
        <x:v>1</x:v>
      </x:c>
      <x:c r="E11" s="89" t="n">
        <x:v>60</x:v>
      </x:c>
      <x:c r="F11" s="90" t="n">
        <x:f>ROUND(E11*$D$5,2)</x:f>
        <x:v>89.7</x:v>
      </x:c>
      <x:c r="G11" s="89" t="n">
        <x:v>0</x:v>
      </x:c>
      <x:c r="H11" s="91" t="n">
        <x:f>ROUND(D11*E11,2)</x:f>
        <x:v>60</x:v>
      </x:c>
      <x:c r="I11" s="91" t="n">
        <x:f>ROUND(D11*F11,2)</x:f>
        <x:v>89.7</x:v>
      </x:c>
      <x:c r="J11" s="91" t="n">
        <x:f>ROUND(D11*G11,2)</x:f>
        <x:v>0</x:v>
      </x:c>
      <x:c r="K11" s="91" t="n">
        <x:f>I11-J11</x:f>
        <x:v>89.7</x:v>
      </x:c>
      <x:c r="L11" s="96" t="str"/>
    </x:row>
    <x:row r="12" ht="23" customHeight="1">
      <x:c r="A12" s="63" t="str">
        <x:v>Deslocamento</x:v>
      </x:c>
      <x:c r="B12" s="60" t="str">
        <x:v>Despesa Montagem (Km rodado Mercedes 1718)</x:v>
      </x:c>
      <x:c r="C12" s="66" t="str">
        <x:v>km</x:v>
      </x:c>
      <x:c r="D12" s="84" t="n">
        <x:v>1</x:v>
      </x:c>
      <x:c r="E12" s="89" t="n">
        <x:v>2.35</x:v>
      </x:c>
      <x:c r="F12" s="90" t="n">
        <x:f>ROUND(E12*$D$5,2)</x:f>
        <x:v>3.51</x:v>
      </x:c>
      <x:c r="G12" s="89" t="n">
        <x:v>0</x:v>
      </x:c>
      <x:c r="H12" s="91" t="n">
        <x:f>ROUND(D12*E12,2)</x:f>
        <x:v>2.35</x:v>
      </x:c>
      <x:c r="I12" s="91" t="n">
        <x:f>ROUND(D12*F12,2)</x:f>
        <x:v>3.51</x:v>
      </x:c>
      <x:c r="J12" s="91" t="n">
        <x:f>ROUND(D12*G12,2)</x:f>
        <x:v>0</x:v>
      </x:c>
      <x:c r="K12" s="91" t="n">
        <x:f>I12-J12</x:f>
        <x:v>3.51</x:v>
      </x:c>
      <x:c r="L12" s="96" t="str"/>
    </x:row>
    <x:row r="13" ht="23" customHeight="1">
      <x:c r="A13" s="63" t="str">
        <x:v>Mão de obra</x:v>
      </x:c>
      <x:c r="B13" s="60" t="str">
        <x:v>Dia de serviço Jonatan (Montagem)</x:v>
      </x:c>
      <x:c r="C13" s="66" t="str">
        <x:v>dia</x:v>
      </x:c>
      <x:c r="D13" s="84" t="n">
        <x:v>1</x:v>
      </x:c>
      <x:c r="E13" s="89" t="n">
        <x:v>315</x:v>
      </x:c>
      <x:c r="F13" s="90" t="n">
        <x:f>ROUND(E13*$D$5,2)</x:f>
        <x:v>470.92</x:v>
      </x:c>
      <x:c r="G13" s="89" t="n">
        <x:v>0</x:v>
      </x:c>
      <x:c r="H13" s="91" t="n">
        <x:f>ROUND(D13*E13,2)</x:f>
        <x:v>315</x:v>
      </x:c>
      <x:c r="I13" s="91" t="n">
        <x:f>ROUND(D13*F13,2)</x:f>
        <x:v>470.92</x:v>
      </x:c>
      <x:c r="J13" s="91" t="n">
        <x:f>ROUND(D13*G13,2)</x:f>
        <x:v>0</x:v>
      </x:c>
      <x:c r="K13" s="91" t="n">
        <x:f>I13-J13</x:f>
        <x:v>470.92</x:v>
      </x:c>
      <x:c r="L13" s="96" t="str"/>
    </x:row>
    <x:row r="14" ht="23" customHeight="1">
      <x:c r="A14" s="63" t="str">
        <x:v>Mão de obra</x:v>
      </x:c>
      <x:c r="B14" s="60" t="str">
        <x:v>Renan Castanha (Montagem)</x:v>
      </x:c>
      <x:c r="C14" s="66" t="str">
        <x:v>dia</x:v>
      </x:c>
      <x:c r="D14" s="84" t="n">
        <x:v>1</x:v>
      </x:c>
      <x:c r="E14" s="89" t="n">
        <x:v>390</x:v>
      </x:c>
      <x:c r="F14" s="90" t="n">
        <x:f>ROUND(E14*$D$5,2)</x:f>
        <x:v>583.05</x:v>
      </x:c>
      <x:c r="G14" s="89" t="n">
        <x:v>0</x:v>
      </x:c>
      <x:c r="H14" s="91" t="n">
        <x:f>ROUND(D14*E14,2)</x:f>
        <x:v>390</x:v>
      </x:c>
      <x:c r="I14" s="91" t="n">
        <x:f>ROUND(D14*F14,2)</x:f>
        <x:v>583.05</x:v>
      </x:c>
      <x:c r="J14" s="91" t="n">
        <x:f>ROUND(D14*G14,2)</x:f>
        <x:v>0</x:v>
      </x:c>
      <x:c r="K14" s="91" t="n">
        <x:f>I14-J14</x:f>
        <x:v>583.05</x:v>
      </x:c>
      <x:c r="L14" s="96" t="str"/>
    </x:row>
    <x:row r="15" ht="23" customHeight="1">
      <x:c r="A15" s="64" t="str">
        <x:v>Mão de obra</x:v>
      </x:c>
      <x:c r="B15" s="61" t="str">
        <x:v>Dia de serviço Fernando (Montagem)</x:v>
      </x:c>
      <x:c r="C15" s="67" t="str">
        <x:v>dia</x:v>
      </x:c>
      <x:c r="D15" s="85" t="n">
        <x:v>1</x:v>
      </x:c>
      <x:c r="E15" s="92" t="n">
        <x:v>255</x:v>
      </x:c>
      <x:c r="F15" s="93" t="n">
        <x:f>ROUND(E15*$D$5,2)</x:f>
        <x:v>381.22</x:v>
      </x:c>
      <x:c r="G15" s="92" t="n">
        <x:v>0</x:v>
      </x:c>
      <x:c r="H15" s="94" t="n">
        <x:f>ROUND(D15*E15,2)</x:f>
        <x:v>255</x:v>
      </x:c>
      <x:c r="I15" s="94" t="n">
        <x:f>ROUND(D15*F15,2)</x:f>
        <x:v>381.22</x:v>
      </x:c>
      <x:c r="J15" s="94" t="n">
        <x:f>ROUND(D15*G15,2)</x:f>
        <x:v>0</x:v>
      </x:c>
      <x:c r="K15" s="94" t="n">
        <x:f>I15-J15</x:f>
        <x:v>381.22</x:v>
      </x:c>
      <x:c r="L15" s="97" t="str"/>
    </x:row>
    <x:row r="16" ht="25" customHeight="1">
      <x:c r="A16" s="100" t="str">
        <x:v>TOTAL</x:v>
      </x:c>
      <x:c r="B16" s="100"/>
      <x:c r="C16" s="100"/>
      <x:c r="D16" s="100"/>
      <x:c r="E16" s="100"/>
      <x:c r="F16" s="100"/>
      <x:c r="G16" s="100"/>
      <x:c r="H16" s="101" t="n">
        <x:f>SUM(H9:H15)</x:f>
        <x:v>1182.35</x:v>
      </x:c>
      <x:c r="I16" s="101" t="n">
        <x:f>SUM(I9:I15)</x:f>
        <x:v>1767.6</x:v>
      </x:c>
      <x:c r="J16" s="101" t="n">
        <x:f>SUM(J9:J15)</x:f>
        <x:v>0</x:v>
      </x:c>
      <x:c r="K16" s="101" t="n">
        <x:f>SUM(K9:K15)</x:f>
        <x:v>1767.6</x:v>
      </x:c>
      <x:c r="L16" s="102" t="str">
        <x:v>7 itens</x:v>
      </x:c>
    </x:row>
    <x:row r="18" ht="30" customHeight="1">
      <x:c r="A18" s="111" t="str">
        <x:v>Como usar: altere Quantidade, Custo unitário, Desconto unitário ou o Acréscimo sobre o custo. As demais colunas são recalculadas automaticamente.</x:v>
      </x:c>
      <x:c r="B18" s="112"/>
      <x:c r="C18" s="112"/>
      <x:c r="D18" s="112"/>
      <x:c r="E18" s="112"/>
      <x:c r="F18" s="112"/>
      <x:c r="G18" s="112"/>
      <x:c r="H18" s="112"/>
      <x:c r="I18" s="112"/>
      <x:c r="J18" s="112"/>
      <x:c r="K18" s="112"/>
      <x:c r="L18" s="113"/>
    </x:row>
    <x:row r="19" ht="24" customHeight="1">
      <x:c r="A19" s="116" t="str">
        <x:v>Nota: o acréscimo de 49,498879% foi inferido dos valores da imagem para reproduzir exatamente o total calculado de R$ 1.767,60.</x:v>
      </x:c>
      <x:c r="B19" s="116"/>
      <x:c r="C19" s="116"/>
      <x:c r="D19" s="116"/>
      <x:c r="E19" s="116"/>
      <x:c r="F19" s="116"/>
      <x:c r="G19" s="116"/>
      <x:c r="H19" s="116"/>
      <x:c r="I19" s="116"/>
      <x:c r="J19" s="116"/>
      <x:c r="K19" s="116"/>
      <x:c r="L19" s="116"/>
    </x:row>
  </x:sheetData>
  <x:mergeCells>
    <x:mergeCell ref="A1:L1"/>
    <x:mergeCell ref="A2:L2"/>
    <x:mergeCell ref="A4:D4"/>
    <x:mergeCell ref="E4:F4"/>
    <x:mergeCell ref="G4:H4"/>
    <x:mergeCell ref="I4:K4"/>
    <x:mergeCell ref="E5:F5"/>
    <x:mergeCell ref="G5:H5"/>
    <x:mergeCell ref="I5:K5"/>
    <x:mergeCell ref="A16:G16"/>
    <x:mergeCell ref="A18:L18"/>
    <x:mergeCell ref="A19:L19"/>
  </x:mergeCells>
  <x:pageMargins left="0.7" right="0.7" top="0.75" bottom="0.75" header="0.3" footer="0.3"/>
  <x:tableParts count="1">
    <x:tablePart xmlns:r="http://schemas.openxmlformats.org/officeDocument/2006/relationships" r:id="Rdae60bf570f04901"/>
  </x:tableParts>
</x:worksheet>
</file>