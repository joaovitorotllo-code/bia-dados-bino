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OneDrive\Desktop\Sicredi Salinas-MG\"/>
    </mc:Choice>
  </mc:AlternateContent>
  <xr:revisionPtr revIDLastSave="0" documentId="13_ncr:1_{32944132-463D-4A0B-8837-561C0C819BF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alinas-MG" sheetId="1" r:id="rId1"/>
    <sheet name="Base Araçua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G22" i="1"/>
  <c r="G20" i="1"/>
  <c r="H20" i="1" s="1"/>
  <c r="G19" i="1"/>
  <c r="H19" i="1" s="1"/>
  <c r="G18" i="1"/>
  <c r="H18" i="1" s="1"/>
  <c r="G17" i="1"/>
  <c r="H17" i="1" s="1"/>
  <c r="H16" i="1"/>
  <c r="G16" i="1"/>
  <c r="G15" i="1"/>
  <c r="H15" i="1" s="1"/>
  <c r="G14" i="1"/>
  <c r="H14" i="1" s="1"/>
  <c r="G13" i="1"/>
  <c r="H13" i="1" s="1"/>
  <c r="G12" i="1"/>
  <c r="H12" i="1" s="1"/>
  <c r="G11" i="1"/>
  <c r="H11" i="1" s="1"/>
  <c r="G10" i="1"/>
  <c r="H10" i="1" s="1"/>
  <c r="G9" i="1"/>
  <c r="H9" i="1" s="1"/>
  <c r="H25" i="1" s="1"/>
</calcChain>
</file>

<file path=xl/sharedStrings.xml><?xml version="1.0" encoding="utf-8"?>
<sst xmlns="http://schemas.openxmlformats.org/spreadsheetml/2006/main" count="126" uniqueCount="89">
  <si>
    <t>BINOARTE LUMINOSOS</t>
  </si>
  <si>
    <t>Matriz: Frederico Westphalen-RS  |  Filial: Pouso Alegre-MG</t>
  </si>
  <si>
    <t>ORÇAMENTO – SINALIZAÇÃO INTERNA</t>
  </si>
  <si>
    <t>CLIENTE:</t>
  </si>
  <si>
    <t>Sicredi</t>
  </si>
  <si>
    <t>CIDADE:</t>
  </si>
  <si>
    <t>Salinas-MG</t>
  </si>
  <si>
    <t>PROJETO:</t>
  </si>
  <si>
    <t>Comunicação e sinalização interna</t>
  </si>
  <si>
    <t>DATA:</t>
  </si>
  <si>
    <t>17/07/2026</t>
  </si>
  <si>
    <t>ITEM</t>
  </si>
  <si>
    <t>DESCRIÇÃO</t>
  </si>
  <si>
    <t>MEDIDAS</t>
  </si>
  <si>
    <t>UNID.</t>
  </si>
  <si>
    <t>QTD.</t>
  </si>
  <si>
    <t>VALOR UNIT.</t>
  </si>
  <si>
    <t>VALOR TOTAL</t>
  </si>
  <si>
    <t>SINALIZAÇÃO INTERNA</t>
  </si>
  <si>
    <t>1.1</t>
  </si>
  <si>
    <t>Barra de segurança em adesivo, distribuída em 5 trechos conforme planta</t>
  </si>
  <si>
    <t>20 m.l. estimados</t>
  </si>
  <si>
    <t>m.l.</t>
  </si>
  <si>
    <t>1.2</t>
  </si>
  <si>
    <t>Adesivos para caixas de autoatendimento – kit completo</t>
  </si>
  <si>
    <t>3 ATMs</t>
  </si>
  <si>
    <t>unid.</t>
  </si>
  <si>
    <t>1.3</t>
  </si>
  <si>
    <t>Adesivo Preferencial – área de autoatendimento</t>
  </si>
  <si>
    <t>Conforme manual</t>
  </si>
  <si>
    <t>1.4</t>
  </si>
  <si>
    <t>Adesivo Autoatendimento</t>
  </si>
  <si>
    <t>1.5</t>
  </si>
  <si>
    <t>Adesivo de botoeira aplicado em placa acrílica</t>
  </si>
  <si>
    <t>Medida a conferir</t>
  </si>
  <si>
    <t>1.6</t>
  </si>
  <si>
    <t>Adesivo de identificação Coworking</t>
  </si>
  <si>
    <t>1.7</t>
  </si>
  <si>
    <t>Adesivo 05, conforme indicação da planta</t>
  </si>
  <si>
    <t>1.8</t>
  </si>
  <si>
    <t>Adesivo Lixo para móvel do café</t>
  </si>
  <si>
    <t>1.9</t>
  </si>
  <si>
    <t>Placas de porta: Copa/DML, Almoxarifado, Banheiro Feminino/PNE, Banheiro Masculino/PNE e Acesso Restrito</t>
  </si>
  <si>
    <t>5 placas</t>
  </si>
  <si>
    <t>1.10</t>
  </si>
  <si>
    <t>Frase institucional: "Cooperar é acreditar que quando evoluímos juntos, evoluímos melhor."</t>
  </si>
  <si>
    <t>3,00 x 0,35 m</t>
  </si>
  <si>
    <t>1.11</t>
  </si>
  <si>
    <t>Frase institucional: "Quando pessoas se juntam com um só objetivo a mudança acontece."</t>
  </si>
  <si>
    <t>1.12</t>
  </si>
  <si>
    <t>Logomarca Sicredi em PVC expandido 20 mm, cor branca</t>
  </si>
  <si>
    <t>2,40 x 0,60 m</t>
  </si>
  <si>
    <t>ADESIVOS JATEADOS E INSTALAÇÃO</t>
  </si>
  <si>
    <t>2.1</t>
  </si>
  <si>
    <t>Adesivos jateados 01 a 04, altura de 1,00 m</t>
  </si>
  <si>
    <t>4 panos – larguras a conferir</t>
  </si>
  <si>
    <t>2.2</t>
  </si>
  <si>
    <t>Serviços de instalação da sinalização interna</t>
  </si>
  <si>
    <t>Execução conjunta à obra</t>
  </si>
  <si>
    <t>serv.</t>
  </si>
  <si>
    <t>INVESTIMENTO TOTAL – SINALIZAÇÃO INTERNA</t>
  </si>
  <si>
    <t>OBSERVAÇÕES:
• Itens levantados a partir dos PDFs COMUNICAÇÃO INTERNA e COMUNICAÇÃO INTERNA – MANUAL SICREDI.
• Barra de segurança considerada em 20 metros lineares, estimativa baseada nos 5 trechos indicados na planta.
• Adesivos jateados considerados em 4 panos com altura de 1,00 m; larguras finais deverão ser medidas no local.
• Valores unitários adotados com base na planilha Binoarte – Internas Sicredi Araçuaí, com ajuste proporcional nas peças de dimensões diferentes.
• O valor de instalação considera execução em conjunto com os demais serviços da unidade Salinas-MG. Viagem exclusiva, hospedagem e nova mobilização não estão incluídas nesta planilha.
• Conferir medidas, substratos e condições de fixação antes da produção.</t>
  </si>
  <si>
    <t>Valores extraídos da planilha “Binoarte - Internas Sicredi Araçuaí.xls”</t>
  </si>
  <si>
    <t>Nº</t>
  </si>
  <si>
    <t>TOTAL ORIGINAL</t>
  </si>
  <si>
    <t>OBSERVAÇÃO</t>
  </si>
  <si>
    <t>Barra de segurança</t>
  </si>
  <si>
    <t>Adesivo horário de atendimento</t>
  </si>
  <si>
    <t>Adesivos cashs – kit completo</t>
  </si>
  <si>
    <t>Frase "Cooperar é acreditar que quando evoluímos juntos, evoluímos melhor."</t>
  </si>
  <si>
    <t>3,00 m</t>
  </si>
  <si>
    <t>Frase "Quando pessoas se juntam com um só objetivo a mudança acontece."</t>
  </si>
  <si>
    <t>2,40 m</t>
  </si>
  <si>
    <t>Logo Sicredi em relevo branco – ambiente café</t>
  </si>
  <si>
    <t>2,60 m</t>
  </si>
  <si>
    <t>Placas de porta</t>
  </si>
  <si>
    <t>Adesivo Preferencial – ATM</t>
  </si>
  <si>
    <t>Mural de avisos legais</t>
  </si>
  <si>
    <t>Adesivo nominal Sala de Reuniões</t>
  </si>
  <si>
    <t>Numeração de mesas</t>
  </si>
  <si>
    <t>01 a 04</t>
  </si>
  <si>
    <t>Logo Café em MDF</t>
  </si>
  <si>
    <t>Adesivo jateado inteiro – 4 mesas de atendimento</t>
  </si>
  <si>
    <t>4,00 x 1,00 m</t>
  </si>
  <si>
    <t>A planilha original registra R$ 3.000,00; 4 × R$ 600,00 resulta em R$ 2.400,00.</t>
  </si>
  <si>
    <t>Serviços e instalação</t>
  </si>
  <si>
    <t>TOTAL ORIGINAL DA PLANILHA ARAÇUAÍ</t>
  </si>
  <si>
    <t>Total conforme arquivo de origem.</t>
  </si>
  <si>
    <t xml:space="preserve">BASE DE PREÇOS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</si>
</sst>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3">
    <font>
      <sz val="11"/>
      <name val="Carlito"/>
    </font>
    <font>
      <b/>
      <sz val="20"/>
      <color rgb="FF1F1F1F"/>
      <name val="Carlito"/>
    </font>
    <font>
      <b/>
      <sz val="10"/>
      <color rgb="FFFFFFFF"/>
      <name val="Carlito"/>
    </font>
    <font>
      <b/>
      <sz val="15"/>
      <color rgb="FFFFFFFF"/>
      <name val="Carlito"/>
    </font>
    <font>
      <sz val="10"/>
      <color rgb="FF1F1F1F"/>
      <name val="Carlito"/>
    </font>
    <font>
      <b/>
      <sz val="10"/>
      <color rgb="FF1F1F1F"/>
      <name val="Carlito"/>
    </font>
    <font>
      <b/>
      <sz val="10"/>
      <color rgb="FFF2B705"/>
      <name val="Carlito"/>
    </font>
    <font>
      <b/>
      <sz val="11"/>
      <color rgb="FFFFFFFF"/>
      <name val="Carlito"/>
    </font>
    <font>
      <b/>
      <sz val="13"/>
      <color rgb="FF1F1F1F"/>
      <name val="Carlito"/>
    </font>
    <font>
      <sz val="9"/>
      <color rgb="FF1F1F1F"/>
      <name val="Carlito"/>
    </font>
    <font>
      <b/>
      <sz val="16"/>
      <color rgb="FF1F1F1F"/>
      <name val="Carlito"/>
    </font>
    <font>
      <b/>
      <sz val="11"/>
      <color rgb="FFF2B705"/>
      <name val="Carlito"/>
    </font>
    <font>
      <b/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F2B705"/>
      </patternFill>
    </fill>
    <fill>
      <patternFill patternType="solid">
        <fgColor rgb="FF1F1F1F"/>
      </patternFill>
    </fill>
    <fill>
      <patternFill patternType="solid">
        <fgColor rgb="FF333333"/>
      </patternFill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5" fillId="5" borderId="1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164" fontId="0" fillId="0" borderId="0" xfId="0" applyNumberFormat="1"/>
    <xf numFmtId="164" fontId="4" fillId="0" borderId="3" xfId="0" applyNumberFormat="1" applyFont="1" applyBorder="1" applyAlignment="1">
      <alignment horizontal="right" vertical="center" wrapText="1"/>
    </xf>
    <xf numFmtId="164" fontId="8" fillId="6" borderId="1" xfId="0" applyNumberFormat="1" applyFont="1" applyFill="1" applyBorder="1" applyAlignment="1">
      <alignment horizontal="right" vertical="center"/>
    </xf>
    <xf numFmtId="0" fontId="11" fillId="3" borderId="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 wrapText="1"/>
    </xf>
    <xf numFmtId="0" fontId="9" fillId="0" borderId="3" xfId="0" applyFont="1" applyBorder="1" applyAlignment="1">
      <alignment horizontal="center" vertical="center" wrapText="1"/>
    </xf>
    <xf numFmtId="164" fontId="9" fillId="0" borderId="3" xfId="0" applyNumberFormat="1" applyFont="1" applyBorder="1" applyAlignment="1">
      <alignment vertical="center" wrapText="1"/>
    </xf>
    <xf numFmtId="0" fontId="12" fillId="6" borderId="1" xfId="0" applyFont="1" applyFill="1" applyBorder="1"/>
    <xf numFmtId="164" fontId="12" fillId="6" borderId="1" xfId="0" applyNumberFormat="1" applyFont="1" applyFill="1" applyBorder="1"/>
    <xf numFmtId="0" fontId="7" fillId="4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/>
    </xf>
    <xf numFmtId="0" fontId="7" fillId="4" borderId="3" xfId="0" applyFont="1" applyFill="1" applyBorder="1" applyAlignment="1">
      <alignment vertical="center" wrapText="1"/>
    </xf>
    <xf numFmtId="0" fontId="7" fillId="4" borderId="3" xfId="0" applyFont="1" applyFill="1" applyBorder="1" applyAlignment="1">
      <alignment horizontal="center" vertical="center" wrapText="1"/>
    </xf>
    <xf numFmtId="164" fontId="7" fillId="4" borderId="3" xfId="0" applyNumberFormat="1" applyFont="1" applyFill="1" applyBorder="1" applyAlignment="1">
      <alignment horizontal="right" vertical="center" wrapText="1"/>
    </xf>
    <xf numFmtId="0" fontId="9" fillId="7" borderId="4" xfId="0" applyFont="1" applyFill="1" applyBorder="1" applyAlignment="1">
      <alignment vertical="top" wrapText="1"/>
    </xf>
    <xf numFmtId="0" fontId="9" fillId="7" borderId="5" xfId="0" applyFont="1" applyFill="1" applyBorder="1" applyAlignment="1">
      <alignment vertical="top" wrapText="1"/>
    </xf>
    <xf numFmtId="0" fontId="9" fillId="7" borderId="6" xfId="0" applyFont="1" applyFill="1" applyBorder="1" applyAlignment="1">
      <alignment vertical="top" wrapText="1"/>
    </xf>
    <xf numFmtId="0" fontId="9" fillId="7" borderId="7" xfId="0" applyFont="1" applyFill="1" applyBorder="1" applyAlignment="1">
      <alignment vertical="top" wrapText="1"/>
    </xf>
    <xf numFmtId="0" fontId="9" fillId="7" borderId="0" xfId="0" applyFont="1" applyFill="1" applyAlignment="1">
      <alignment vertical="top" wrapText="1"/>
    </xf>
    <xf numFmtId="0" fontId="9" fillId="7" borderId="8" xfId="0" applyFont="1" applyFill="1" applyBorder="1" applyAlignment="1">
      <alignment vertical="top" wrapText="1"/>
    </xf>
    <xf numFmtId="0" fontId="9" fillId="7" borderId="9" xfId="0" applyFont="1" applyFill="1" applyBorder="1" applyAlignment="1">
      <alignment vertical="top" wrapText="1"/>
    </xf>
    <xf numFmtId="0" fontId="9" fillId="7" borderId="10" xfId="0" applyFont="1" applyFill="1" applyBorder="1" applyAlignment="1">
      <alignment vertical="top" wrapText="1"/>
    </xf>
    <xf numFmtId="0" fontId="9" fillId="7" borderId="11" xfId="0" applyFont="1" applyFill="1" applyBorder="1" applyAlignment="1">
      <alignment vertical="top" wrapText="1"/>
    </xf>
    <xf numFmtId="0" fontId="4" fillId="0" borderId="3" xfId="0" applyFont="1" applyBorder="1" applyAlignment="1">
      <alignment vertical="center" wrapText="1"/>
    </xf>
    <xf numFmtId="0" fontId="8" fillId="6" borderId="1" xfId="0" applyFont="1" applyFill="1" applyBorder="1" applyAlignment="1">
      <alignment horizontal="right" vertical="center"/>
    </xf>
    <xf numFmtId="0" fontId="8" fillId="6" borderId="1" xfId="0" applyFont="1" applyFill="1" applyBorder="1" applyAlignment="1">
      <alignment vertical="center"/>
    </xf>
    <xf numFmtId="164" fontId="8" fillId="6" borderId="1" xfId="0" applyNumberFormat="1" applyFont="1" applyFill="1" applyBorder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2" fillId="6" borderId="1" xfId="0" applyFont="1" applyFill="1" applyBorder="1"/>
    <xf numFmtId="164" fontId="12" fillId="6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activeCell="I23" sqref="I23"/>
    </sheetView>
  </sheetViews>
  <sheetFormatPr defaultRowHeight="14.25"/>
  <cols>
    <col min="1" max="1" width="9" customWidth="1"/>
    <col min="2" max="2" width="34" customWidth="1"/>
    <col min="3" max="3" width="8" customWidth="1"/>
    <col min="4" max="4" width="22" customWidth="1"/>
    <col min="5" max="5" width="10" customWidth="1"/>
    <col min="6" max="6" width="9" customWidth="1"/>
    <col min="7" max="7" width="16" customWidth="1"/>
    <col min="8" max="8" width="17" customWidth="1"/>
  </cols>
  <sheetData>
    <row r="1" spans="1:8" ht="33.950000000000003" customHeight="1">
      <c r="A1" s="15" t="s">
        <v>0</v>
      </c>
      <c r="B1" s="15"/>
      <c r="C1" s="15"/>
      <c r="D1" s="15"/>
      <c r="E1" s="15"/>
      <c r="F1" s="15"/>
      <c r="G1" s="15"/>
      <c r="H1" s="15"/>
    </row>
    <row r="2" spans="1:8" ht="21.95" customHeight="1">
      <c r="A2" s="16" t="s">
        <v>1</v>
      </c>
      <c r="B2" s="16"/>
      <c r="C2" s="16"/>
      <c r="D2" s="16"/>
      <c r="E2" s="16"/>
      <c r="F2" s="16"/>
      <c r="G2" s="16"/>
      <c r="H2" s="16"/>
    </row>
    <row r="3" spans="1:8" ht="27.95" customHeight="1">
      <c r="A3" s="17" t="s">
        <v>2</v>
      </c>
      <c r="B3" s="17"/>
      <c r="C3" s="17"/>
      <c r="D3" s="17"/>
      <c r="E3" s="17"/>
      <c r="F3" s="17"/>
      <c r="G3" s="17"/>
      <c r="H3" s="17"/>
    </row>
    <row r="4" spans="1:8" ht="8.1" customHeight="1"/>
    <row r="5" spans="1:8" ht="21.95" customHeight="1">
      <c r="A5" s="1" t="s">
        <v>3</v>
      </c>
      <c r="B5" s="18" t="s">
        <v>4</v>
      </c>
      <c r="C5" s="18"/>
      <c r="D5" s="18"/>
      <c r="E5" s="1" t="s">
        <v>5</v>
      </c>
      <c r="F5" s="18" t="s">
        <v>6</v>
      </c>
      <c r="G5" s="18"/>
      <c r="H5" s="18"/>
    </row>
    <row r="6" spans="1:8" ht="24" customHeight="1">
      <c r="A6" s="1" t="s">
        <v>7</v>
      </c>
      <c r="B6" s="18" t="s">
        <v>8</v>
      </c>
      <c r="C6" s="18"/>
      <c r="D6" s="18"/>
      <c r="E6" s="1" t="s">
        <v>9</v>
      </c>
      <c r="F6" s="18" t="s">
        <v>10</v>
      </c>
      <c r="G6" s="18"/>
      <c r="H6" s="18"/>
    </row>
    <row r="7" spans="1:8" ht="27.95" customHeight="1">
      <c r="A7" s="2" t="s">
        <v>11</v>
      </c>
      <c r="B7" s="2" t="s">
        <v>12</v>
      </c>
      <c r="C7" s="2"/>
      <c r="D7" s="2" t="s">
        <v>13</v>
      </c>
      <c r="E7" s="2" t="s">
        <v>14</v>
      </c>
      <c r="F7" s="2" t="s">
        <v>15</v>
      </c>
      <c r="G7" s="2" t="s">
        <v>16</v>
      </c>
      <c r="H7" s="2" t="s">
        <v>17</v>
      </c>
    </row>
    <row r="8" spans="1:8" ht="24" customHeight="1">
      <c r="A8" s="3">
        <v>1</v>
      </c>
      <c r="B8" s="19" t="s">
        <v>18</v>
      </c>
      <c r="C8" s="19"/>
      <c r="D8" s="19"/>
      <c r="E8" s="19"/>
      <c r="F8" s="19"/>
      <c r="G8" s="19"/>
      <c r="H8" s="19"/>
    </row>
    <row r="9" spans="1:8" ht="38.1" customHeight="1">
      <c r="A9" s="4" t="s">
        <v>19</v>
      </c>
      <c r="B9" s="32" t="s">
        <v>20</v>
      </c>
      <c r="C9" s="32"/>
      <c r="D9" s="4" t="s">
        <v>21</v>
      </c>
      <c r="E9" s="4" t="s">
        <v>22</v>
      </c>
      <c r="F9" s="4">
        <v>20</v>
      </c>
      <c r="G9" s="6">
        <f>'Base Araçuai'!F4</f>
        <v>25</v>
      </c>
      <c r="H9" s="6">
        <f t="shared" ref="H9:H20" si="0">F9*G9</f>
        <v>500</v>
      </c>
    </row>
    <row r="10" spans="1:8" ht="38.1" customHeight="1">
      <c r="A10" s="4" t="s">
        <v>23</v>
      </c>
      <c r="B10" s="32" t="s">
        <v>24</v>
      </c>
      <c r="C10" s="32"/>
      <c r="D10" s="4" t="s">
        <v>25</v>
      </c>
      <c r="E10" s="4" t="s">
        <v>26</v>
      </c>
      <c r="F10" s="4">
        <v>3</v>
      </c>
      <c r="G10" s="6">
        <f>'Base Araçuai'!F6</f>
        <v>120</v>
      </c>
      <c r="H10" s="6">
        <f t="shared" si="0"/>
        <v>360</v>
      </c>
    </row>
    <row r="11" spans="1:8" ht="38.1" customHeight="1">
      <c r="A11" s="4" t="s">
        <v>27</v>
      </c>
      <c r="B11" s="32" t="s">
        <v>28</v>
      </c>
      <c r="C11" s="32"/>
      <c r="D11" s="4" t="s">
        <v>29</v>
      </c>
      <c r="E11" s="4" t="s">
        <v>26</v>
      </c>
      <c r="F11" s="4">
        <v>1</v>
      </c>
      <c r="G11" s="6">
        <f>'Base Araçuai'!F11</f>
        <v>25</v>
      </c>
      <c r="H11" s="6">
        <f t="shared" si="0"/>
        <v>25</v>
      </c>
    </row>
    <row r="12" spans="1:8" ht="38.1" customHeight="1">
      <c r="A12" s="4" t="s">
        <v>30</v>
      </c>
      <c r="B12" s="32" t="s">
        <v>31</v>
      </c>
      <c r="C12" s="32"/>
      <c r="D12" s="4" t="s">
        <v>29</v>
      </c>
      <c r="E12" s="4" t="s">
        <v>26</v>
      </c>
      <c r="F12" s="4">
        <v>1</v>
      </c>
      <c r="G12" s="6">
        <f>'Base Araçuai'!F11</f>
        <v>25</v>
      </c>
      <c r="H12" s="6">
        <f t="shared" si="0"/>
        <v>25</v>
      </c>
    </row>
    <row r="13" spans="1:8" ht="38.1" customHeight="1">
      <c r="A13" s="4" t="s">
        <v>32</v>
      </c>
      <c r="B13" s="32" t="s">
        <v>33</v>
      </c>
      <c r="C13" s="32"/>
      <c r="D13" s="4" t="s">
        <v>34</v>
      </c>
      <c r="E13" s="4" t="s">
        <v>26</v>
      </c>
      <c r="F13" s="4">
        <v>1</v>
      </c>
      <c r="G13" s="6">
        <f>ROUND('Base Araçuai'!F10+'Base Araçuai'!F11,-1)</f>
        <v>100</v>
      </c>
      <c r="H13" s="6">
        <f t="shared" si="0"/>
        <v>100</v>
      </c>
    </row>
    <row r="14" spans="1:8" ht="38.1" customHeight="1">
      <c r="A14" s="4" t="s">
        <v>35</v>
      </c>
      <c r="B14" s="32" t="s">
        <v>36</v>
      </c>
      <c r="C14" s="32"/>
      <c r="D14" s="4" t="s">
        <v>29</v>
      </c>
      <c r="E14" s="4" t="s">
        <v>26</v>
      </c>
      <c r="F14" s="4">
        <v>1</v>
      </c>
      <c r="G14" s="6">
        <f>'Base Araçuai'!F11</f>
        <v>25</v>
      </c>
      <c r="H14" s="6">
        <f t="shared" si="0"/>
        <v>25</v>
      </c>
    </row>
    <row r="15" spans="1:8" ht="38.1" customHeight="1">
      <c r="A15" s="4" t="s">
        <v>37</v>
      </c>
      <c r="B15" s="32" t="s">
        <v>38</v>
      </c>
      <c r="C15" s="32"/>
      <c r="D15" s="4" t="s">
        <v>34</v>
      </c>
      <c r="E15" s="4" t="s">
        <v>26</v>
      </c>
      <c r="F15" s="4">
        <v>1</v>
      </c>
      <c r="G15" s="6">
        <f>'Base Araçuai'!F11</f>
        <v>25</v>
      </c>
      <c r="H15" s="6">
        <f t="shared" si="0"/>
        <v>25</v>
      </c>
    </row>
    <row r="16" spans="1:8" ht="38.1" customHeight="1">
      <c r="A16" s="4" t="s">
        <v>39</v>
      </c>
      <c r="B16" s="32" t="s">
        <v>40</v>
      </c>
      <c r="C16" s="32"/>
      <c r="D16" s="4" t="s">
        <v>29</v>
      </c>
      <c r="E16" s="4" t="s">
        <v>26</v>
      </c>
      <c r="F16" s="4">
        <v>1</v>
      </c>
      <c r="G16" s="6">
        <f>'Base Araçuai'!F16</f>
        <v>15</v>
      </c>
      <c r="H16" s="6">
        <f t="shared" si="0"/>
        <v>15</v>
      </c>
    </row>
    <row r="17" spans="1:8" ht="56.1" customHeight="1">
      <c r="A17" s="4" t="s">
        <v>41</v>
      </c>
      <c r="B17" s="32" t="s">
        <v>42</v>
      </c>
      <c r="C17" s="32"/>
      <c r="D17" s="4" t="s">
        <v>43</v>
      </c>
      <c r="E17" s="4" t="s">
        <v>26</v>
      </c>
      <c r="F17" s="4">
        <v>5</v>
      </c>
      <c r="G17" s="6">
        <f>'Base Araçuai'!F10</f>
        <v>70</v>
      </c>
      <c r="H17" s="6">
        <f t="shared" si="0"/>
        <v>350</v>
      </c>
    </row>
    <row r="18" spans="1:8" ht="48" customHeight="1">
      <c r="A18" s="4" t="s">
        <v>44</v>
      </c>
      <c r="B18" s="32" t="s">
        <v>45</v>
      </c>
      <c r="C18" s="32"/>
      <c r="D18" s="4" t="s">
        <v>46</v>
      </c>
      <c r="E18" s="4" t="s">
        <v>26</v>
      </c>
      <c r="F18" s="4">
        <v>1</v>
      </c>
      <c r="G18" s="6">
        <f>'Base Araçuai'!F7</f>
        <v>1950</v>
      </c>
      <c r="H18" s="6">
        <f t="shared" si="0"/>
        <v>1950</v>
      </c>
    </row>
    <row r="19" spans="1:8" ht="48" customHeight="1">
      <c r="A19" s="4" t="s">
        <v>47</v>
      </c>
      <c r="B19" s="32" t="s">
        <v>48</v>
      </c>
      <c r="C19" s="32"/>
      <c r="D19" s="4" t="s">
        <v>46</v>
      </c>
      <c r="E19" s="4" t="s">
        <v>26</v>
      </c>
      <c r="F19" s="4">
        <v>1</v>
      </c>
      <c r="G19" s="6">
        <f>ROUND('Base Araçuai'!F8*3/2.4,-1)</f>
        <v>2190</v>
      </c>
      <c r="H19" s="6">
        <f t="shared" si="0"/>
        <v>2190</v>
      </c>
    </row>
    <row r="20" spans="1:8" ht="48" customHeight="1">
      <c r="A20" s="4" t="s">
        <v>49</v>
      </c>
      <c r="B20" s="32" t="s">
        <v>50</v>
      </c>
      <c r="C20" s="32"/>
      <c r="D20" s="4" t="s">
        <v>51</v>
      </c>
      <c r="E20" s="4" t="s">
        <v>26</v>
      </c>
      <c r="F20" s="4">
        <v>1</v>
      </c>
      <c r="G20" s="6">
        <f>ROUND('Base Araçuai'!F9*2.4/2.6,-1)</f>
        <v>2420</v>
      </c>
      <c r="H20" s="6">
        <f t="shared" si="0"/>
        <v>2420</v>
      </c>
    </row>
    <row r="21" spans="1:8" ht="38.1" customHeight="1">
      <c r="A21" s="14">
        <v>2</v>
      </c>
      <c r="B21" s="20" t="s">
        <v>52</v>
      </c>
      <c r="C21" s="20"/>
      <c r="D21" s="21"/>
      <c r="E21" s="21"/>
      <c r="F21" s="21"/>
      <c r="G21" s="22"/>
      <c r="H21" s="22"/>
    </row>
    <row r="22" spans="1:8" ht="38.1" customHeight="1">
      <c r="A22" s="4" t="s">
        <v>53</v>
      </c>
      <c r="B22" s="32" t="s">
        <v>54</v>
      </c>
      <c r="C22" s="32"/>
      <c r="D22" s="4" t="s">
        <v>55</v>
      </c>
      <c r="E22" s="4" t="s">
        <v>26</v>
      </c>
      <c r="F22" s="4">
        <v>4</v>
      </c>
      <c r="G22" s="6">
        <f>'Base Araçuai'!F17</f>
        <v>600</v>
      </c>
      <c r="H22" s="6">
        <f>F22*G22</f>
        <v>2400</v>
      </c>
    </row>
    <row r="23" spans="1:8" ht="38.1" customHeight="1">
      <c r="A23" s="4" t="s">
        <v>56</v>
      </c>
      <c r="B23" s="32" t="s">
        <v>57</v>
      </c>
      <c r="C23" s="32"/>
      <c r="D23" s="4" t="s">
        <v>58</v>
      </c>
      <c r="E23" s="4" t="s">
        <v>59</v>
      </c>
      <c r="F23" s="4">
        <v>1</v>
      </c>
      <c r="G23" s="6">
        <v>2860</v>
      </c>
      <c r="H23" s="6">
        <v>2860</v>
      </c>
    </row>
    <row r="24" spans="1:8">
      <c r="G24" s="5"/>
      <c r="H24" s="5"/>
    </row>
    <row r="25" spans="1:8" ht="30" customHeight="1">
      <c r="A25" s="33" t="s">
        <v>60</v>
      </c>
      <c r="B25" s="34"/>
      <c r="C25" s="34"/>
      <c r="D25" s="34"/>
      <c r="E25" s="34"/>
      <c r="F25" s="34"/>
      <c r="G25" s="35"/>
      <c r="H25" s="7">
        <f>SUM(H9:H23)</f>
        <v>13245</v>
      </c>
    </row>
    <row r="26" spans="1:8" ht="81.95" customHeight="1">
      <c r="A26" s="23" t="s">
        <v>61</v>
      </c>
      <c r="B26" s="24"/>
      <c r="C26" s="24"/>
      <c r="D26" s="24"/>
      <c r="E26" s="24"/>
      <c r="F26" s="24"/>
      <c r="G26" s="24"/>
      <c r="H26" s="25"/>
    </row>
    <row r="27" spans="1:8" ht="6" customHeight="1">
      <c r="A27" s="26"/>
      <c r="B27" s="27"/>
      <c r="C27" s="27"/>
      <c r="D27" s="27"/>
      <c r="E27" s="27"/>
      <c r="F27" s="27"/>
      <c r="G27" s="27"/>
      <c r="H27" s="28"/>
    </row>
    <row r="28" spans="1:8" ht="6" customHeight="1">
      <c r="A28" s="26"/>
      <c r="B28" s="27"/>
      <c r="C28" s="27"/>
      <c r="D28" s="27"/>
      <c r="E28" s="27"/>
      <c r="F28" s="27"/>
      <c r="G28" s="27"/>
      <c r="H28" s="28"/>
    </row>
    <row r="29" spans="1:8" ht="6" customHeight="1">
      <c r="A29" s="29"/>
      <c r="B29" s="30"/>
      <c r="C29" s="30"/>
      <c r="D29" s="30"/>
      <c r="E29" s="30"/>
      <c r="F29" s="30"/>
      <c r="G29" s="30"/>
      <c r="H29" s="31"/>
    </row>
  </sheetData>
  <mergeCells count="25">
    <mergeCell ref="B20:C20"/>
    <mergeCell ref="B22:C22"/>
    <mergeCell ref="B23:C23"/>
    <mergeCell ref="A25:G25"/>
    <mergeCell ref="B6:D6"/>
    <mergeCell ref="F6:H6"/>
    <mergeCell ref="B8:H8"/>
    <mergeCell ref="B21:H21"/>
    <mergeCell ref="A26:H29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A1:H1"/>
    <mergeCell ref="A2:H2"/>
    <mergeCell ref="A3:H3"/>
    <mergeCell ref="B5:D5"/>
    <mergeCell ref="F5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workbookViewId="0">
      <selection activeCell="K6" sqref="K6"/>
    </sheetView>
  </sheetViews>
  <sheetFormatPr defaultRowHeight="14.25"/>
  <cols>
    <col min="1" max="1" width="7" customWidth="1"/>
    <col min="2" max="2" width="52" customWidth="1"/>
    <col min="3" max="3" width="18" customWidth="1"/>
    <col min="4" max="4" width="10" customWidth="1"/>
    <col min="5" max="5" width="9" customWidth="1"/>
    <col min="6" max="7" width="15" customWidth="1"/>
    <col min="8" max="8" width="42" customWidth="1"/>
  </cols>
  <sheetData>
    <row r="1" spans="1:8" ht="20.25">
      <c r="A1" s="36" t="s">
        <v>88</v>
      </c>
      <c r="B1" s="36"/>
      <c r="C1" s="36"/>
      <c r="D1" s="36"/>
      <c r="E1" s="36"/>
      <c r="F1" s="36"/>
      <c r="G1" s="36"/>
      <c r="H1" s="36"/>
    </row>
    <row r="2" spans="1:8">
      <c r="A2" s="37" t="s">
        <v>62</v>
      </c>
      <c r="B2" s="37"/>
      <c r="C2" s="37"/>
      <c r="D2" s="37"/>
      <c r="E2" s="37"/>
      <c r="F2" s="37"/>
      <c r="G2" s="37"/>
      <c r="H2" s="37"/>
    </row>
    <row r="3" spans="1:8" ht="30">
      <c r="A3" s="8" t="s">
        <v>63</v>
      </c>
      <c r="B3" s="8" t="s">
        <v>12</v>
      </c>
      <c r="C3" s="8" t="s">
        <v>13</v>
      </c>
      <c r="D3" s="8" t="s">
        <v>14</v>
      </c>
      <c r="E3" s="8" t="s">
        <v>15</v>
      </c>
      <c r="F3" s="8" t="s">
        <v>16</v>
      </c>
      <c r="G3" s="8" t="s">
        <v>64</v>
      </c>
      <c r="H3" s="8" t="s">
        <v>65</v>
      </c>
    </row>
    <row r="4" spans="1:8" ht="36" customHeight="1">
      <c r="A4" s="10">
        <v>1</v>
      </c>
      <c r="B4" s="9" t="s">
        <v>66</v>
      </c>
      <c r="C4" s="10"/>
      <c r="D4" s="10" t="s">
        <v>22</v>
      </c>
      <c r="E4" s="10">
        <v>50</v>
      </c>
      <c r="F4" s="11">
        <v>25</v>
      </c>
      <c r="G4" s="11">
        <v>1250</v>
      </c>
      <c r="H4" s="9"/>
    </row>
    <row r="5" spans="1:8" ht="36" customHeight="1">
      <c r="A5" s="10">
        <v>2</v>
      </c>
      <c r="B5" s="9" t="s">
        <v>67</v>
      </c>
      <c r="C5" s="10"/>
      <c r="D5" s="10" t="s">
        <v>26</v>
      </c>
      <c r="E5" s="10">
        <v>1</v>
      </c>
      <c r="F5" s="11">
        <v>70</v>
      </c>
      <c r="G5" s="11">
        <v>70</v>
      </c>
      <c r="H5" s="9"/>
    </row>
    <row r="6" spans="1:8" ht="36" customHeight="1">
      <c r="A6" s="10">
        <v>3</v>
      </c>
      <c r="B6" s="9" t="s">
        <v>68</v>
      </c>
      <c r="C6" s="10"/>
      <c r="D6" s="10" t="s">
        <v>26</v>
      </c>
      <c r="E6" s="10">
        <v>3</v>
      </c>
      <c r="F6" s="11">
        <v>120</v>
      </c>
      <c r="G6" s="11">
        <v>360</v>
      </c>
      <c r="H6" s="9"/>
    </row>
    <row r="7" spans="1:8" ht="36" customHeight="1">
      <c r="A7" s="10">
        <v>4</v>
      </c>
      <c r="B7" s="9" t="s">
        <v>69</v>
      </c>
      <c r="C7" s="10" t="s">
        <v>70</v>
      </c>
      <c r="D7" s="10" t="s">
        <v>26</v>
      </c>
      <c r="E7" s="10">
        <v>1</v>
      </c>
      <c r="F7" s="11">
        <v>1950</v>
      </c>
      <c r="G7" s="11">
        <v>1950</v>
      </c>
      <c r="H7" s="9"/>
    </row>
    <row r="8" spans="1:8" ht="36" customHeight="1">
      <c r="A8" s="10">
        <v>5</v>
      </c>
      <c r="B8" s="9" t="s">
        <v>71</v>
      </c>
      <c r="C8" s="10" t="s">
        <v>72</v>
      </c>
      <c r="D8" s="10" t="s">
        <v>26</v>
      </c>
      <c r="E8" s="10">
        <v>1</v>
      </c>
      <c r="F8" s="11">
        <v>1750</v>
      </c>
      <c r="G8" s="11">
        <v>1750</v>
      </c>
      <c r="H8" s="9"/>
    </row>
    <row r="9" spans="1:8" ht="36" customHeight="1">
      <c r="A9" s="10">
        <v>6</v>
      </c>
      <c r="B9" s="9" t="s">
        <v>73</v>
      </c>
      <c r="C9" s="10" t="s">
        <v>74</v>
      </c>
      <c r="D9" s="10" t="s">
        <v>26</v>
      </c>
      <c r="E9" s="10">
        <v>1</v>
      </c>
      <c r="F9" s="11">
        <v>2620</v>
      </c>
      <c r="G9" s="11">
        <v>2620</v>
      </c>
      <c r="H9" s="9"/>
    </row>
    <row r="10" spans="1:8" ht="36" customHeight="1">
      <c r="A10" s="10">
        <v>7</v>
      </c>
      <c r="B10" s="9" t="s">
        <v>75</v>
      </c>
      <c r="C10" s="10"/>
      <c r="D10" s="10" t="s">
        <v>26</v>
      </c>
      <c r="E10" s="10">
        <v>5</v>
      </c>
      <c r="F10" s="11">
        <v>70</v>
      </c>
      <c r="G10" s="11">
        <v>350</v>
      </c>
      <c r="H10" s="9"/>
    </row>
    <row r="11" spans="1:8" ht="36" customHeight="1">
      <c r="A11" s="10">
        <v>8</v>
      </c>
      <c r="B11" s="9" t="s">
        <v>76</v>
      </c>
      <c r="C11" s="10"/>
      <c r="D11" s="10" t="s">
        <v>26</v>
      </c>
      <c r="E11" s="10">
        <v>1</v>
      </c>
      <c r="F11" s="11">
        <v>25</v>
      </c>
      <c r="G11" s="11">
        <v>25</v>
      </c>
      <c r="H11" s="9"/>
    </row>
    <row r="12" spans="1:8" ht="36" customHeight="1">
      <c r="A12" s="10">
        <v>9</v>
      </c>
      <c r="B12" s="9" t="s">
        <v>77</v>
      </c>
      <c r="C12" s="10"/>
      <c r="D12" s="10" t="s">
        <v>26</v>
      </c>
      <c r="E12" s="10">
        <v>1</v>
      </c>
      <c r="F12" s="11">
        <v>1450</v>
      </c>
      <c r="G12" s="11">
        <v>1450</v>
      </c>
      <c r="H12" s="9"/>
    </row>
    <row r="13" spans="1:8" ht="36" customHeight="1">
      <c r="A13" s="10">
        <v>10</v>
      </c>
      <c r="B13" s="9" t="s">
        <v>78</v>
      </c>
      <c r="C13" s="10"/>
      <c r="D13" s="10" t="s">
        <v>26</v>
      </c>
      <c r="E13" s="10">
        <v>2</v>
      </c>
      <c r="F13" s="11">
        <v>25</v>
      </c>
      <c r="G13" s="11">
        <v>50</v>
      </c>
      <c r="H13" s="9"/>
    </row>
    <row r="14" spans="1:8" ht="36" customHeight="1">
      <c r="A14" s="10">
        <v>11</v>
      </c>
      <c r="B14" s="9" t="s">
        <v>79</v>
      </c>
      <c r="C14" s="10" t="s">
        <v>80</v>
      </c>
      <c r="D14" s="10" t="s">
        <v>26</v>
      </c>
      <c r="E14" s="10">
        <v>4</v>
      </c>
      <c r="F14" s="11">
        <v>25</v>
      </c>
      <c r="G14" s="11">
        <v>100</v>
      </c>
      <c r="H14" s="9"/>
    </row>
    <row r="15" spans="1:8" ht="36" customHeight="1">
      <c r="A15" s="10">
        <v>12</v>
      </c>
      <c r="B15" s="9" t="s">
        <v>81</v>
      </c>
      <c r="C15" s="10"/>
      <c r="D15" s="10" t="s">
        <v>26</v>
      </c>
      <c r="E15" s="10">
        <v>1</v>
      </c>
      <c r="F15" s="11">
        <v>180</v>
      </c>
      <c r="G15" s="11">
        <v>180</v>
      </c>
      <c r="H15" s="9"/>
    </row>
    <row r="16" spans="1:8" ht="36" customHeight="1">
      <c r="A16" s="10">
        <v>13</v>
      </c>
      <c r="B16" s="9" t="s">
        <v>40</v>
      </c>
      <c r="C16" s="10"/>
      <c r="D16" s="10" t="s">
        <v>26</v>
      </c>
      <c r="E16" s="10">
        <v>1</v>
      </c>
      <c r="F16" s="11">
        <v>15</v>
      </c>
      <c r="G16" s="11">
        <v>15</v>
      </c>
      <c r="H16" s="9"/>
    </row>
    <row r="17" spans="1:8" ht="51.95" customHeight="1">
      <c r="A17" s="10">
        <v>14</v>
      </c>
      <c r="B17" s="9" t="s">
        <v>82</v>
      </c>
      <c r="C17" s="10" t="s">
        <v>83</v>
      </c>
      <c r="D17" s="10" t="s">
        <v>26</v>
      </c>
      <c r="E17" s="10">
        <v>4</v>
      </c>
      <c r="F17" s="11">
        <v>600</v>
      </c>
      <c r="G17" s="11">
        <v>3000</v>
      </c>
      <c r="H17" s="9" t="s">
        <v>84</v>
      </c>
    </row>
    <row r="18" spans="1:8" ht="36" customHeight="1">
      <c r="A18" s="10">
        <v>15</v>
      </c>
      <c r="B18" s="9" t="s">
        <v>85</v>
      </c>
      <c r="C18" s="10"/>
      <c r="D18" s="10" t="s">
        <v>59</v>
      </c>
      <c r="E18" s="10">
        <v>1</v>
      </c>
      <c r="F18" s="11">
        <v>1230</v>
      </c>
      <c r="G18" s="11">
        <v>1230</v>
      </c>
      <c r="H18" s="9"/>
    </row>
    <row r="19" spans="1:8">
      <c r="F19" s="5"/>
      <c r="G19" s="5"/>
    </row>
    <row r="20" spans="1:8" ht="15">
      <c r="A20" s="38" t="s">
        <v>86</v>
      </c>
      <c r="B20" s="38"/>
      <c r="C20" s="38"/>
      <c r="D20" s="38"/>
      <c r="E20" s="38"/>
      <c r="F20" s="39"/>
      <c r="G20" s="13">
        <v>14400</v>
      </c>
      <c r="H20" s="12" t="s">
        <v>87</v>
      </c>
    </row>
  </sheetData>
  <mergeCells count="3">
    <mergeCell ref="A1:H1"/>
    <mergeCell ref="A2:H2"/>
    <mergeCell ref="A20:F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Salinas-MG</vt:lpstr>
      <vt:lpstr>Base Araçuai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Binoarte Luminosos</cp:lastModifiedBy>
  <dcterms:modified xsi:type="dcterms:W3CDTF">2026-07-17T11:03:32Z</dcterms:modified>
</cp:coreProperties>
</file>