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e0ac3c9a242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EIA_PRIMEIRO" sheetId="1" r:id="R60c964e9b3ab4587"/>
    <x:sheet xmlns:r="http://schemas.openxmlformats.org/officeDocument/2006/relationships" name="01_BASE_COMERCIAL" sheetId="2" r:id="Re52d2b88e13646f8"/>
    <x:sheet xmlns:r="http://schemas.openxmlformats.org/officeDocument/2006/relationships" name="02_ORCAMENTO_RAPIDO" sheetId="3" r:id="Rcdbebc43cddb42c8"/>
    <x:sheet xmlns:r="http://schemas.openxmlformats.org/officeDocument/2006/relationships" name="03_LOGISTICA" sheetId="4" r:id="R54f278d027df47e0"/>
    <x:sheet xmlns:r="http://schemas.openxmlformats.org/officeDocument/2006/relationships" name="04_REGRAS" sheetId="5" r:id="Rde9f65f5c02a4b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$ #,##0.00"/>
    <x:numFmt numFmtId="201" formatCode="0.0%"/>
    <x:numFmt numFmtId="202" formatCode="0.00x"/>
    <x:numFmt numFmtId="203" formatCode="dd/mm/yyyy"/>
  </x:numFmts>
  <x:fonts count="4">
    <x:font>
      <x:sz val="11"/>
      <x:name val="Carlito"/>
    </x:font>
    <x:font>
      <x:sz val="10"/>
      <x:name val="Arial"/>
    </x:font>
    <x:font>
      <x:b/>
      <x:sz val="12"/>
      <x:color rgb="FFFFFFFF"/>
      <x:name val="Arial"/>
    </x:font>
    <x:font>
      <x:b/>
      <x:sz val="10"/>
      <x:color rgb="FF1111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FC000"/>
      </x:patternFill>
    </x:fill>
    <x:fill>
      <x:patternFill patternType="solid">
        <x:fgColor rgb="FFFFF2C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4" borderId="1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200" fontId="1" fillId="0" borderId="8" xfId="0" applyNumberFormat="1" applyFont="1" applyFill="1" applyBorder="1" applyAlignment="1">
      <x:alignment vertical="center" wrapText="1"/>
    </x:xf>
    <x:xf numFmtId="200" fontId="1" fillId="4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3" fillId="3" borderId="10" xfId="0" applyNumberFormat="1" applyFont="1" applyFill="1" applyBorder="1" applyAlignment="1">
      <x:alignment vertical="center" wrapText="1"/>
    </x:xf>
    <x:xf numFmtId="0" fontId="3" fillId="3" borderId="11" xfId="0" applyNumberFormat="1" applyFont="1" applyFill="1" applyBorder="1" applyAlignment="1">
      <x:alignment vertical="center" wrapText="1"/>
    </x:xf>
    <x:xf numFmtId="0" fontId="3" fillId="3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200" fontId="1" fillId="0" borderId="16" xfId="0" applyNumberFormat="1" applyFont="1" applyFill="1" applyBorder="1" applyAlignment="1">
      <x:alignment vertical="center" wrapText="1"/>
    </x:xf>
    <x:xf numFmtId="200" fontId="1" fillId="4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200" fontId="1" fillId="0" borderId="6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200" fontId="1" fillId="0" borderId="9" xfId="0" applyNumberFormat="1" applyFont="1" applyFill="1" applyBorder="1" applyAlignment="1">
      <x:alignment vertical="center" wrapText="1"/>
    </x:xf>
    <x:xf numFmtId="200" fontId="1" fillId="0" borderId="14" xfId="0" applyNumberFormat="1" applyFont="1" applyFill="1" applyBorder="1" applyAlignment="1">
      <x:alignment vertical="center" wrapText="1"/>
    </x:xf>
    <x:xf numFmtId="0" fontId="1" fillId="4" borderId="16" xfId="0" applyNumberFormat="1" applyFont="1" applyFill="1" applyBorder="1" applyAlignment="1">
      <x:alignment vertical="center" wrapText="1"/>
    </x:xf>
    <x:xf numFmtId="200" fontId="1" fillId="0" borderId="17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200" fontId="2" fillId="2" borderId="6" xfId="0" applyNumberFormat="1" applyFont="1" applyFill="1" applyBorder="1" applyAlignment="1">
      <x:alignment vertical="center" wrapText="1"/>
    </x:xf>
    <x:xf numFmtId="0" fontId="2" fillId="2" borderId="13" xfId="0" applyNumberFormat="1" applyFont="1" applyFill="1" applyBorder="1" applyAlignment="1">
      <x:alignment vertical="center" wrapText="1"/>
    </x:xf>
    <x:xf numFmtId="200" fontId="2" fillId="2" borderId="1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bd490ec9540e0" /><Relationship Type="http://schemas.openxmlformats.org/officeDocument/2006/relationships/theme" Target="/xl/theme/theme1.xml" Id="R84657f810bbc40e5" /><Relationship Type="http://schemas.openxmlformats.org/officeDocument/2006/relationships/sharedStrings" Target="/xl/sharedStrings.xml" Id="R95556c7a561048ad" /><Relationship Type="http://schemas.openxmlformats.org/officeDocument/2006/relationships/worksheet" Target="/xl/worksheets/sheet1.xml" Id="R60c964e9b3ab4587" /><Relationship Type="http://schemas.openxmlformats.org/officeDocument/2006/relationships/worksheet" Target="/xl/worksheets/sheet2.xml" Id="Re52d2b88e13646f8" /><Relationship Type="http://schemas.openxmlformats.org/officeDocument/2006/relationships/worksheet" Target="/xl/worksheets/sheet3.xml" Id="Rcdbebc43cddb42c8" /><Relationship Type="http://schemas.openxmlformats.org/officeDocument/2006/relationships/worksheet" Target="/xl/worksheets/sheet4.xml" Id="R54f278d027df47e0" /><Relationship Type="http://schemas.openxmlformats.org/officeDocument/2006/relationships/worksheet" Target="/xl/worksheets/sheet5.xml" Id="Rde9f65f5c02a4b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5" hidden="0" customWidth="1"/>
  </x:cols>
  <x:sheetData>
    <x:row r="1" ht="15" hidden="0" customHeight="1">
      <x:c r="A1" s="24" t="str">
        <x:v>BASE OPERACIONAL BINO — VERSÃO ENXUTA</x:v>
      </x:c>
      <x:c r="B1" s="24"/>
      <x:c r="C1" s="24"/>
      <x:c r="D1" s="24"/>
      <x:c r="E1" s="24"/>
      <x:c r="F1" s="24"/>
      <x:c r="G1" s="24"/>
      <x:c r="H1" s="24"/>
      <x:c r="I1" s="25"/>
      <x:c r="J1" s="25"/>
      <x:c r="K1" s="25"/>
      <x:c r="L1" s="25"/>
      <x:c r="M1" s="25"/>
    </x:row>
    <x:row r="2" ht="15" hidden="0" customHeight="1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</x:row>
    <x:row r="3" ht="15" hidden="0" customHeight="1">
      <x:c r="A3" s="26" t="str">
        <x:v>OBJETIVO</x:v>
      </x:c>
      <x:c r="B3" s="26"/>
      <x:c r="C3" s="26"/>
      <x:c r="D3" s="26"/>
      <x:c r="E3" s="26"/>
      <x:c r="F3" s="26"/>
      <x:c r="G3" s="26"/>
      <x:c r="H3" s="26"/>
      <x:c r="I3" s="25"/>
      <x:c r="J3" s="25"/>
      <x:c r="K3" s="25"/>
      <x:c r="L3" s="25"/>
      <x:c r="M3" s="25"/>
    </x:row>
    <x:row r="4">
      <x:c r="A4" s="25" t="str">
        <x:v>Esta versão foi simplificada para evitar orçamento inflado por dupla aplicação de margem. O preço-base desta planilha é PREÇO COMERCIAL, não custo. Portanto, não aplicar novamente margem de 40%/45% sobre ele.</x:v>
      </x:c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</x:row>
    <x:row r="5">
      <x:c r="A5" s="25"/>
      <x:c r="B5" s="25"/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</x:row>
    <x:row r="6" ht="15" hidden="0" customHeight="1">
      <x:c r="A6" s="25"/>
      <x:c r="B6" s="25"/>
      <x:c r="C6" s="25"/>
      <x:c r="D6" s="25"/>
      <x:c r="E6" s="25"/>
      <x:c r="F6" s="25"/>
      <x:c r="G6" s="25"/>
      <x:c r="H6" s="25"/>
      <x:c r="I6" s="25"/>
      <x:c r="J6" s="25"/>
      <x:c r="K6" s="25"/>
      <x:c r="L6" s="25"/>
      <x:c r="M6" s="25"/>
    </x:row>
    <x:row r="7" ht="15" hidden="0" customHeight="1">
      <x:c r="A7" s="26" t="str">
        <x:v>REGRA</x:v>
      </x:c>
      <x:c r="B7" s="26" t="str">
        <x:v>COMO USAR</x:v>
      </x:c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</x:row>
    <x:row r="8" ht="15" hidden="0" customHeight="1">
      <x:c r="A8" s="25" t="str">
        <x:v>1</x:v>
      </x:c>
      <x:c r="B8" s="25" t="str">
        <x:v>Usar a aba 01_BASE_COMERCIAL como referência rápida de preço unitário.</x:v>
      </x:c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</x:row>
    <x:row r="9" ht="15" hidden="0" customHeight="1">
      <x:c r="A9" s="25" t="str">
        <x:v>2</x:v>
      </x:c>
      <x:c r="B9" s="25" t="str">
        <x:v>Na aba 02_ORCAMENTO_RAPIDO, selecionar o código, quantidade e nível comercial.</x:v>
      </x:c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</x:row>
    <x:row r="10" ht="15" hidden="0" customHeight="1">
      <x:c r="A10" s="25" t="str">
        <x:v>3</x:v>
      </x:c>
      <x:c r="B10" s="25" t="str">
        <x:v>Preço manual é PREÇO DE VENDA unitário. Não recebe novo multiplicador.</x:v>
      </x:c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</x:row>
    <x:row r="11" ht="15" hidden="0" customHeight="1">
      <x:c r="A11" s="25" t="str">
        <x:v>4</x:v>
      </x:c>
      <x:c r="B11" s="25" t="str">
        <x:v>Logística é somada uma única vez, na aba 03_LOGISTICA.</x:v>
      </x:c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</x:row>
    <x:row r="12" ht="15" hidden="0" customHeight="1">
      <x:c r="A12" s="25" t="str">
        <x:v>5</x:v>
      </x:c>
      <x:c r="B12" s="25" t="str">
        <x:v>Piso/Competitivo/Ideal/Premium são faixas de venda já prontas.</x:v>
      </x:c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</x:row>
    <x:row r="13" ht="15" hidden="0" customHeight="1">
      <x:c r="A13" s="25" t="str">
        <x:v>6</x:v>
      </x:c>
      <x:c r="B13" s="25" t="str">
        <x:v>Projeto muito especial, estrutura pesada, risco alto ou fornecedor específico: usar preço manual/cotação.</x:v>
      </x:c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</x:row>
    <x:row r="14" ht="15" hidden="0" customHeight="1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</x:row>
    <x:row r="15" ht="15" hidden="0" customHeight="1">
      <x:c r="A15" s="26" t="str">
        <x:v>O QUE FOI REMOVIDO DA ROTINA PRINCIPAL</x:v>
      </x:c>
      <x:c r="B15" s="26"/>
      <x:c r="C15" s="26"/>
      <x:c r="D15" s="26"/>
      <x:c r="E15" s="26"/>
      <x:c r="F15" s="26"/>
      <x:c r="G15" s="26"/>
      <x:c r="H15" s="26"/>
      <x:c r="I15" s="25"/>
      <x:c r="J15" s="25"/>
      <x:c r="K15" s="25"/>
      <x:c r="L15" s="25"/>
      <x:c r="M15" s="25"/>
    </x:row>
    <x:row r="16">
      <x:c r="A16" s="25" t="str">
        <x:v>Foram retirados da rotina principal: dezenas de insumos, pesquisa de mercado, fatores de complexidade, reserva geral automática e a fórmula final de margem de contribuição 25%/32%/40%/45%. Esses controles podem continuar no arquivo técnico antigo, mas não devem dirigir todo orçamento padrão.</x:v>
      </x:c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</x:row>
    <x:row r="21" ht="15" hidden="0" customHeight="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</x:row>
    <x:row r="22" ht="15" hidden="0" customHeight="1">
      <x:c r="A22" s="26" t="str">
        <x:v>ALERTA</x:v>
      </x:c>
      <x:c r="B22" s="26"/>
      <x:c r="C22" s="26"/>
      <x:c r="D22" s="26"/>
      <x:c r="E22" s="26"/>
      <x:c r="F22" s="26"/>
      <x:c r="G22" s="26"/>
      <x:c r="H22" s="26"/>
      <x:c r="I22" s="25"/>
      <x:c r="J22" s="25"/>
      <x:c r="K22" s="25"/>
      <x:c r="L22" s="25"/>
      <x:c r="M22" s="25"/>
    </x:row>
    <x:row r="23">
      <x:c r="A23" s="25" t="str">
        <x:v>Os preços-base abaixo vieram das referências comerciais já existentes na planilha original e continuam sujeitos a validação interna. A nova lógica apenas evita recalcular margem em cima de um preço que já é comercial.</x:v>
      </x:c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</x:row>
  </x:sheetData>
  <x:mergeCells>
    <x:mergeCell ref="A1:H1"/>
    <x:mergeCell ref="A3:H3"/>
    <x:mergeCell ref="A4:H5"/>
    <x:mergeCell ref="A15:H15"/>
    <x:mergeCell ref="A16:H20"/>
    <x:mergeCell ref="A22:H22"/>
    <x:mergeCell ref="A23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0" hidden="0" customWidth="1"/>
    <x:col min="12" max="12" width="30" hidden="0" customWidth="1"/>
    <x:col min="13" max="13" width="16" hidden="0" customWidth="1"/>
  </x:cols>
  <x:sheetData>
    <x:row r="1" ht="26" customHeight="1">
      <x:c r="A1" s="24" t="str">
        <x:v>01 | BASE COMERCIAL SIMPLIFICADA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5"/>
      <x:c r="L1" s="24" t="str">
        <x:v>PARÂMETROS DE PROTEÇÃO</x:v>
      </x:c>
      <x:c r="M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</x:row>
    <x:row r="3" ht="24" hidden="0" customHeight="1">
      <x:c r="A3" s="46" t="str">
        <x:v>Código</x:v>
      </x:c>
      <x:c r="B3" s="47" t="str">
        <x:v>Produto / serviço</x:v>
      </x:c>
      <x:c r="C3" s="47" t="str">
        <x:v>Unid.</x:v>
      </x:c>
      <x:c r="D3" s="47" t="str">
        <x:v>Custo técnico ref.</x:v>
      </x:c>
      <x:c r="E3" s="47" t="str">
        <x:v>Preço-base comercial</x:v>
      </x:c>
      <x:c r="F3" s="47" t="str">
        <x:v>Piso / Recusa</x:v>
      </x:c>
      <x:c r="G3" s="47" t="str">
        <x:v>Competitivo</x:v>
      </x:c>
      <x:c r="H3" s="47" t="str">
        <x:v>Ideal BINO</x:v>
      </x:c>
      <x:c r="I3" s="47" t="str">
        <x:v>Premium</x:v>
      </x:c>
      <x:c r="J3" s="48" t="str">
        <x:v>Observação</x:v>
      </x:c>
      <x:c r="K3" s="25"/>
      <x:c r="L3" s="26" t="str">
        <x:v>Parâmetro</x:v>
      </x:c>
      <x:c r="M3" s="26" t="str">
        <x:v>Valor</x:v>
      </x:c>
    </x:row>
    <x:row r="4" ht="24" hidden="0" customHeight="1">
      <x:c r="A4" s="49" t="str">
        <x:v>PROD-ACM3-EXT</x:v>
      </x:c>
      <x:c r="B4" s="25" t="str">
        <x:v>Revestimento externo em ACM 3 mm</x:v>
      </x:c>
      <x:c r="C4" s="25" t="str">
        <x:v>m²</x:v>
      </x:c>
      <x:c r="D4" s="30" t="n">
        <x:v>184.544</x:v>
      </x:c>
      <x:c r="E4" s="40" t="n">
        <x:v>365</x:v>
      </x:c>
      <x:c r="F4" s="30" t="n">
        <x:f>ROUNDUP(MAX(E4*$M$9,D4/(1-$M$4-$M$5))/$M$12,0)*$M$12</x:f>
        <x:v>330</x:v>
      </x:c>
      <x:c r="G4" s="30" t="n">
        <x:f>ROUNDUP(MAX(E4*$M$10,D4/(1-$M$4-$M$6))/$M$12,0)*$M$12</x:f>
        <x:v>350</x:v>
      </x:c>
      <x:c r="H4" s="30" t="n">
        <x:f>ROUNDUP(MAX(E4,D4/(1-$M$4-$M$7))/$M$12,0)*$M$12</x:f>
        <x:v>365</x:v>
      </x:c>
      <x:c r="I4" s="30" t="n">
        <x:f>ROUNDUP(MAX(E4*$M$11,D4/(1-$M$4-$M$8))/$M$12,0)*$M$12</x:f>
        <x:v>405</x:v>
      </x:c>
      <x:c r="J4" s="50" t="str">
        <x:v>Preço-base histórico BINO sem instalação; validar cor, marca, paginação e estrutura.</x:v>
      </x:c>
      <x:c r="K4" s="25"/>
      <x:c r="L4" s="25" t="str">
        <x:v>Impostos considerados</x:v>
      </x:c>
      <x:c r="M4" s="31" t="n">
        <x:v>0.15</x:v>
      </x:c>
    </x:row>
    <x:row r="5" ht="36" hidden="0" customHeight="1">
      <x:c r="A5" s="49" t="str">
        <x:v>PROD-ACM4-EXT</x:v>
      </x:c>
      <x:c r="B5" s="25" t="str">
        <x:v>Revestimento externo em ACM 4 mm</x:v>
      </x:c>
      <x:c r="C5" s="25" t="str">
        <x:v>m²</x:v>
      </x:c>
      <x:c r="D5" s="30" t="n">
        <x:v>344.188</x:v>
      </x:c>
      <x:c r="E5" s="40" t="n">
        <x:v>480</x:v>
      </x:c>
      <x:c r="F5" s="30" t="n">
        <x:f>ROUNDUP(MAX(E5*$M$9,D5/(1-$M$4-$M$5))/$M$12,0)*$M$12</x:f>
        <x:v>460</x:v>
      </x:c>
      <x:c r="G5" s="30" t="n">
        <x:f>ROUNDUP(MAX(E5*$M$10,D5/(1-$M$4-$M$6))/$M$12,0)*$M$12</x:f>
        <x:v>495</x:v>
      </x:c>
      <x:c r="H5" s="30" t="n">
        <x:f>ROUNDUP(MAX(E5,D5/(1-$M$4-$M$7))/$M$12,0)*$M$12</x:f>
        <x:v>530</x:v>
      </x:c>
      <x:c r="I5" s="30" t="n">
        <x:f>ROUNDUP(MAX(E5*$M$11,D5/(1-$M$4-$M$8))/$M$12,0)*$M$12</x:f>
        <x:v>575</x:v>
      </x:c>
      <x:c r="J5" s="50" t="str">
        <x:v>Preço-base histórico BINO sem instalação. Custo técnico atual está alto; faixa mínima protege contra venda abaixo do custo.</x:v>
      </x:c>
      <x:c r="K5" s="25"/>
      <x:c r="L5" s="25" t="str">
        <x:v>Contribuição mínima - Piso</x:v>
      </x:c>
      <x:c r="M5" s="31" t="n">
        <x:v>0.1</x:v>
      </x:c>
    </x:row>
    <x:row r="6" ht="24" hidden="0" customHeight="1">
      <x:c r="A6" s="49" t="str">
        <x:v>PROD-LETRA-LED</x:v>
      </x:c>
      <x:c r="B6" s="25" t="str">
        <x:v>Letra caixa iluminada</x:v>
      </x:c>
      <x:c r="C6" s="25" t="str">
        <x:v>m² face</x:v>
      </x:c>
      <x:c r="D6" s="30" t="n">
        <x:v>846.616875</x:v>
      </x:c>
      <x:c r="E6" s="40" t="n">
        <x:v>1800</x:v>
      </x:c>
      <x:c r="F6" s="30" t="n">
        <x:f>ROUNDUP(MAX(E6*$M$9,D6/(1-$M$4-$M$5))/$M$12,0)*$M$12</x:f>
        <x:v>1620</x:v>
      </x:c>
      <x:c r="G6" s="30" t="n">
        <x:f>ROUNDUP(MAX(E6*$M$10,D6/(1-$M$4-$M$6))/$M$12,0)*$M$12</x:f>
        <x:v>1710</x:v>
      </x:c>
      <x:c r="H6" s="30" t="n">
        <x:f>ROUNDUP(MAX(E6,D6/(1-$M$4-$M$7))/$M$12,0)*$M$12</x:f>
        <x:v>1800</x:v>
      </x:c>
      <x:c r="I6" s="30" t="n">
        <x:f>ROUNDUP(MAX(E6*$M$11,D6/(1-$M$4-$M$8))/$M$12,0)*$M$12</x:f>
        <x:v>1985</x:v>
      </x:c>
      <x:c r="J6" s="50" t="str">
        <x:v>Benchmark comercial da planilha original; geometria, profundidade e LED podem exigir ajuste.</x:v>
      </x:c>
      <x:c r="K6" s="25"/>
      <x:c r="L6" s="25" t="str">
        <x:v>Contribuição mínima - Competitivo</x:v>
      </x:c>
      <x:c r="M6" s="31" t="n">
        <x:v>0.15</x:v>
      </x:c>
    </x:row>
    <x:row r="7" ht="24" hidden="0" customHeight="1">
      <x:c r="A7" s="49" t="str">
        <x:v>PROD-PVC-SEM-LUZ</x:v>
      </x:c>
      <x:c r="B7" s="25" t="str">
        <x:v>Letra/logo PVC sem iluminação</x:v>
      </x:c>
      <x:c r="C7" s="25" t="str">
        <x:v>m² face</x:v>
      </x:c>
      <x:c r="D7" s="30" t="n">
        <x:v>425.35</x:v>
      </x:c>
      <x:c r="E7" s="40" t="n">
        <x:v>850</x:v>
      </x:c>
      <x:c r="F7" s="30" t="n">
        <x:f>ROUNDUP(MAX(E7*$M$9,D7/(1-$M$4-$M$5))/$M$12,0)*$M$12</x:f>
        <x:v>765</x:v>
      </x:c>
      <x:c r="G7" s="30" t="n">
        <x:f>ROUNDUP(MAX(E7*$M$10,D7/(1-$M$4-$M$6))/$M$12,0)*$M$12</x:f>
        <x:v>810</x:v>
      </x:c>
      <x:c r="H7" s="30" t="n">
        <x:f>ROUNDUP(MAX(E7,D7/(1-$M$4-$M$7))/$M$12,0)*$M$12</x:f>
        <x:v>850</x:v>
      </x:c>
      <x:c r="I7" s="30" t="n">
        <x:f>ROUNDUP(MAX(E7*$M$11,D7/(1-$M$4-$M$8))/$M$12,0)*$M$12</x:f>
        <x:v>940</x:v>
      </x:c>
      <x:c r="J7" s="50" t="str">
        <x:v>Benchmark comercial da planilha original; letras pequenas podem exigir mínimo por peça.</x:v>
      </x:c>
      <x:c r="K7" s="25"/>
      <x:c r="L7" s="25" t="str">
        <x:v>Contribuição mínima - Ideal</x:v>
      </x:c>
      <x:c r="M7" s="31" t="n">
        <x:v>0.2</x:v>
      </x:c>
    </x:row>
    <x:row r="8" ht="24" hidden="0" customHeight="1">
      <x:c r="A8" s="49" t="str">
        <x:v>PROD-ADES-IMP</x:v>
      </x:c>
      <x:c r="B8" s="25" t="str">
        <x:v>Adesivo impresso e laminado</x:v>
      </x:c>
      <x:c r="C8" s="25" t="str">
        <x:v>m²</x:v>
      </x:c>
      <x:c r="D8" s="30" t="n">
        <x:v>116.76</x:v>
      </x:c>
      <x:c r="E8" s="40" t="n">
        <x:v>220</x:v>
      </x:c>
      <x:c r="F8" s="30" t="n">
        <x:f>ROUNDUP(MAX(E8*$M$9,D8/(1-$M$4-$M$5))/$M$12,0)*$M$12</x:f>
        <x:v>200</x:v>
      </x:c>
      <x:c r="G8" s="30" t="n">
        <x:f>ROUNDUP(MAX(E8*$M$10,D8/(1-$M$4-$M$6))/$M$12,0)*$M$12</x:f>
        <x:v>210</x:v>
      </x:c>
      <x:c r="H8" s="30" t="n">
        <x:f>ROUNDUP(MAX(E8,D8/(1-$M$4-$M$7))/$M$12,0)*$M$12</x:f>
        <x:v>220</x:v>
      </x:c>
      <x:c r="I8" s="30" t="n">
        <x:f>ROUNDUP(MAX(E8*$M$11,D8/(1-$M$4-$M$8))/$M$12,0)*$M$12</x:f>
        <x:v>245</x:v>
      </x:c>
      <x:c r="J8" s="50" t="str">
        <x:v>Preço-base de produção; instalação externa e remoção são separados.</x:v>
      </x:c>
      <x:c r="K8" s="25"/>
      <x:c r="L8" s="25" t="str">
        <x:v>Contribuição mínima - Premium</x:v>
      </x:c>
      <x:c r="M8" s="31" t="n">
        <x:v>0.25</x:v>
      </x:c>
    </x:row>
    <x:row r="9" ht="24" hidden="0" customHeight="1">
      <x:c r="A9" s="51" t="str">
        <x:v>PROD-LONA-FRONT</x:v>
      </x:c>
      <x:c r="B9" s="52" t="str">
        <x:v>Lona frontlight confeccionada</x:v>
      </x:c>
      <x:c r="C9" s="52" t="str">
        <x:v>m²</x:v>
      </x:c>
      <x:c r="D9" s="53" t="n">
        <x:v>37.548</x:v>
      </x:c>
      <x:c r="E9" s="54" t="n">
        <x:v>90</x:v>
      </x:c>
      <x:c r="F9" s="53" t="n">
        <x:f>ROUNDUP(MAX(E9*$M$9,D9/(1-$M$4-$M$5))/$M$12,0)*$M$12</x:f>
        <x:v>85</x:v>
      </x:c>
      <x:c r="G9" s="53" t="n">
        <x:f>ROUNDUP(MAX(E9*$M$10,D9/(1-$M$4-$M$6))/$M$12,0)*$M$12</x:f>
        <x:v>90</x:v>
      </x:c>
      <x:c r="H9" s="53" t="n">
        <x:f>ROUNDUP(MAX(E9,D9/(1-$M$4-$M$7))/$M$12,0)*$M$12</x:f>
        <x:v>90</x:v>
      </x:c>
      <x:c r="I9" s="53" t="n">
        <x:f>ROUNDUP(MAX(E9*$M$11,D9/(1-$M$4-$M$8))/$M$12,0)*$M$12</x:f>
        <x:v>100</x:v>
      </x:c>
      <x:c r="J9" s="55" t="str">
        <x:v>Preço-base de lona simples; estrutura, iluminação e instalação são separados.</x:v>
      </x:c>
      <x:c r="K9" s="25"/>
      <x:c r="L9" s="25" t="str">
        <x:v>Fator comercial Piso</x:v>
      </x:c>
      <x:c r="M9" s="32" t="n">
        <x:v>0.9</x:v>
      </x:c>
    </x:row>
    <x:row r="10" ht="15" hidden="0" customHeight="1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 t="str">
        <x:v>Fator comercial Competitivo</x:v>
      </x:c>
      <x:c r="M10" s="32" t="n">
        <x:v>0.95</x:v>
      </x:c>
    </x:row>
    <x:row r="11" ht="15" hidden="0" customHeight="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 t="str">
        <x:v>Fator comercial Premium</x:v>
      </x:c>
      <x:c r="M11" s="32" t="n">
        <x:v>1.1</x:v>
      </x:c>
    </x:row>
    <x:row r="12" ht="15" hidden="0" customHeight="1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 t="str">
        <x:v>Arredondamento comercial</x:v>
      </x:c>
      <x:c r="M12" s="30" t="n">
        <x:v>5</x:v>
      </x:c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</x:row>
  </x:sheetData>
  <x:mergeCells>
    <x:mergeCell ref="A1:J1"/>
    <x:mergeCell ref="L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34" hidden="0" customWidth="1"/>
    <x:col min="4" max="4" width="12" hidden="0" customWidth="1"/>
    <x:col min="5" max="5" width="10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24" t="str">
        <x:v>02 | ORÇAMENTO RÁPIDO — PREÇO COMERCIAL DIRETO</x:v>
      </x:c>
      <x:c r="B1" s="24"/>
      <x:c r="C1" s="24"/>
      <x:c r="D1" s="24"/>
      <x:c r="E1" s="24"/>
      <x:c r="F1" s="24"/>
      <x:c r="G1" s="24"/>
      <x:c r="H1" s="24"/>
      <x:c r="I1" s="24"/>
      <x:c r="J1" s="25"/>
      <x:c r="K1" s="25"/>
      <x:c r="L1" s="25"/>
      <x:c r="M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</x:row>
    <x:row r="3" ht="15" hidden="0" customHeight="1">
      <x:c r="A3" s="25" t="str">
        <x:v>Cliente</x:v>
      </x:c>
      <x:c r="B3" s="25"/>
      <x:c r="C3" s="25" t="str">
        <x:v>Cidade/UF</x:v>
      </x:c>
      <x:c r="D3" s="25"/>
      <x:c r="E3" s="25" t="str">
        <x:v>Projeto</x:v>
      </x:c>
      <x:c r="F3" s="25"/>
      <x:c r="G3" s="25" t="str">
        <x:v>Data</x:v>
      </x:c>
      <x:c r="H3" s="44" t="n">
        <x:v>46248</x:v>
      </x:c>
      <x:c r="I3" s="25"/>
      <x:c r="J3" s="25"/>
      <x:c r="K3" s="25"/>
      <x:c r="L3" s="25"/>
      <x:c r="M3" s="25"/>
    </x:row>
    <x:row r="4" ht="24" hidden="0" customHeight="1">
      <x:c r="A4" s="25" t="str">
        <x:v>Observação</x:v>
      </x:c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</x:row>
    <x:row r="5" ht="48" hidden="0" customHeight="1">
      <x:c r="A5" s="36" t="str">
        <x:v>IMPORTANTE</x:v>
      </x:c>
      <x:c r="B5" s="36" t="str">
        <x:v>Preço manual = preço de VENDA unitário. Nunca será multiplicado novamente.</x:v>
      </x:c>
      <x:c r="C5" s="36"/>
      <x:c r="D5" s="36"/>
      <x:c r="E5" s="36"/>
      <x:c r="F5" s="36"/>
      <x:c r="G5" s="36"/>
      <x:c r="H5" s="36"/>
      <x:c r="I5" s="25"/>
      <x:c r="J5" s="25"/>
      <x:c r="K5" s="25"/>
      <x:c r="L5" s="25"/>
      <x:c r="M5" s="25"/>
    </x:row>
    <x:row r="6" ht="15" hidden="0" customHeight="1">
      <x:c r="A6" s="25"/>
      <x:c r="B6" s="25"/>
      <x:c r="C6" s="25"/>
      <x:c r="D6" s="25"/>
      <x:c r="E6" s="25"/>
      <x:c r="F6" s="25"/>
      <x:c r="G6" s="25"/>
      <x:c r="H6" s="25"/>
      <x:c r="I6" s="25"/>
      <x:c r="J6" s="25"/>
      <x:c r="K6" s="25"/>
      <x:c r="L6" s="25"/>
      <x:c r="M6" s="25"/>
    </x:row>
    <x:row r="7" ht="15" hidden="0" customHeight="1">
      <x:c r="A7" s="46" t="str">
        <x:v>Item</x:v>
      </x:c>
      <x:c r="B7" s="47" t="str">
        <x:v>Código</x:v>
      </x:c>
      <x:c r="C7" s="47" t="str">
        <x:v>Descrição</x:v>
      </x:c>
      <x:c r="D7" s="47" t="str">
        <x:v>Unid.</x:v>
      </x:c>
      <x:c r="E7" s="47" t="str">
        <x:v>Qtd.</x:v>
      </x:c>
      <x:c r="F7" s="47" t="str">
        <x:v>Nível</x:v>
      </x:c>
      <x:c r="G7" s="47" t="str">
        <x:v>Preço manual venda</x:v>
      </x:c>
      <x:c r="H7" s="47" t="str">
        <x:v>Preço unit. usado</x:v>
      </x:c>
      <x:c r="I7" s="48" t="str">
        <x:v>Subtotal</x:v>
      </x:c>
      <x:c r="J7" s="25"/>
      <x:c r="K7" s="25"/>
      <x:c r="L7" s="25"/>
      <x:c r="M7" s="25"/>
    </x:row>
    <x:row r="8" ht="15" hidden="0" customHeight="1">
      <x:c r="A8" s="49" t="n">
        <x:v>1</x:v>
      </x:c>
      <x:c r="B8" s="36"/>
      <x:c r="C8" s="25" t="str">
        <x:f>IFERROR(VLOOKUP(B8,'01_BASE_COMERCIAL'!$A$4:$I$50,2,FALSE),"")</x:f>
      </x:c>
      <x:c r="D8" s="25" t="str">
        <x:f>IFERROR(VLOOKUP(B8,'01_BASE_COMERCIAL'!$A$4:$I$50,3,FALSE),"")</x:f>
      </x:c>
      <x:c r="E8" s="36"/>
      <x:c r="F8" s="36" t="str">
        <x:v>Ideal BINO</x:v>
      </x:c>
      <x:c r="G8" s="40"/>
      <x:c r="H8" s="30" t="str">
        <x:f>IF(G8&gt;0,G8,IF(F8="Piso / Recusa",IFERROR(VLOOKUP(B8,'01_BASE_COMERCIAL'!$A$4:$I$50,6,FALSE),0),IF(F8="Competitivo",IFERROR(VLOOKUP(B8,'01_BASE_COMERCIAL'!$A$4:$I$50,7,FALSE),0),IF(F8="Premium",IFERROR(VLOOKUP(B8,'01_BASE_COMERCIAL'!$A$4:$I$50,9,FALSE),0),IFERROR(VLOOKUP(B8,'01_BASE_COMERCIAL'!$A$4:$I$50,8,FALSE),0)))))</x:f>
      </x:c>
      <x:c r="I8" s="66" t="n">
        <x:f>E8*H8</x:f>
        <x:v>0</x:v>
      </x:c>
      <x:c r="J8" s="25"/>
      <x:c r="K8" s="25"/>
      <x:c r="L8" s="25"/>
      <x:c r="M8" s="25"/>
    </x:row>
    <x:row r="9" ht="15" hidden="0" customHeight="1">
      <x:c r="A9" s="49" t="n">
        <x:v>2</x:v>
      </x:c>
      <x:c r="B9" s="36"/>
      <x:c r="C9" s="25" t="str">
        <x:f>IFERROR(VLOOKUP(B9,'01_BASE_COMERCIAL'!$A$4:$I$50,2,FALSE),"")</x:f>
      </x:c>
      <x:c r="D9" s="25" t="str">
        <x:f>IFERROR(VLOOKUP(B9,'01_BASE_COMERCIAL'!$A$4:$I$50,3,FALSE),"")</x:f>
      </x:c>
      <x:c r="E9" s="36"/>
      <x:c r="F9" s="36" t="str">
        <x:v>Ideal BINO</x:v>
      </x:c>
      <x:c r="G9" s="40"/>
      <x:c r="H9" s="30" t="str">
        <x:f>IF(G9&gt;0,G9,IF(F9="Piso / Recusa",IFERROR(VLOOKUP(B9,'01_BASE_COMERCIAL'!$A$4:$I$50,6,FALSE),0),IF(F9="Competitivo",IFERROR(VLOOKUP(B9,'01_BASE_COMERCIAL'!$A$4:$I$50,7,FALSE),0),IF(F9="Premium",IFERROR(VLOOKUP(B9,'01_BASE_COMERCIAL'!$A$4:$I$50,9,FALSE),0),IFERROR(VLOOKUP(B9,'01_BASE_COMERCIAL'!$A$4:$I$50,8,FALSE),0)))))</x:f>
      </x:c>
      <x:c r="I9" s="66" t="n">
        <x:f>E9*H9</x:f>
        <x:v>0</x:v>
      </x:c>
      <x:c r="J9" s="25"/>
      <x:c r="K9" s="25"/>
      <x:c r="L9" s="25"/>
      <x:c r="M9" s="25"/>
    </x:row>
    <x:row r="10" ht="15" hidden="0" customHeight="1">
      <x:c r="A10" s="49" t="n">
        <x:v>3</x:v>
      </x:c>
      <x:c r="B10" s="36"/>
      <x:c r="C10" s="25" t="str">
        <x:f>IFERROR(VLOOKUP(B10,'01_BASE_COMERCIAL'!$A$4:$I$50,2,FALSE),"")</x:f>
      </x:c>
      <x:c r="D10" s="25" t="str">
        <x:f>IFERROR(VLOOKUP(B10,'01_BASE_COMERCIAL'!$A$4:$I$50,3,FALSE),"")</x:f>
      </x:c>
      <x:c r="E10" s="36"/>
      <x:c r="F10" s="36" t="str">
        <x:v>Ideal BINO</x:v>
      </x:c>
      <x:c r="G10" s="40"/>
      <x:c r="H10" s="30" t="str">
        <x:f>IF(G10&gt;0,G10,IF(F10="Piso / Recusa",IFERROR(VLOOKUP(B10,'01_BASE_COMERCIAL'!$A$4:$I$50,6,FALSE),0),IF(F10="Competitivo",IFERROR(VLOOKUP(B10,'01_BASE_COMERCIAL'!$A$4:$I$50,7,FALSE),0),IF(F10="Premium",IFERROR(VLOOKUP(B10,'01_BASE_COMERCIAL'!$A$4:$I$50,9,FALSE),0),IFERROR(VLOOKUP(B10,'01_BASE_COMERCIAL'!$A$4:$I$50,8,FALSE),0)))))</x:f>
      </x:c>
      <x:c r="I10" s="66" t="n">
        <x:f>E10*H10</x:f>
        <x:v>0</x:v>
      </x:c>
      <x:c r="J10" s="25"/>
      <x:c r="K10" s="25"/>
      <x:c r="L10" s="25"/>
      <x:c r="M10" s="25"/>
    </x:row>
    <x:row r="11" ht="15" hidden="0" customHeight="1">
      <x:c r="A11" s="49" t="n">
        <x:v>4</x:v>
      </x:c>
      <x:c r="B11" s="36"/>
      <x:c r="C11" s="25" t="str">
        <x:f>IFERROR(VLOOKUP(B11,'01_BASE_COMERCIAL'!$A$4:$I$50,2,FALSE),"")</x:f>
      </x:c>
      <x:c r="D11" s="25" t="str">
        <x:f>IFERROR(VLOOKUP(B11,'01_BASE_COMERCIAL'!$A$4:$I$50,3,FALSE),"")</x:f>
      </x:c>
      <x:c r="E11" s="36"/>
      <x:c r="F11" s="36" t="str">
        <x:v>Ideal BINO</x:v>
      </x:c>
      <x:c r="G11" s="40"/>
      <x:c r="H11" s="30" t="str">
        <x:f>IF(G11&gt;0,G11,IF(F11="Piso / Recusa",IFERROR(VLOOKUP(B11,'01_BASE_COMERCIAL'!$A$4:$I$50,6,FALSE),0),IF(F11="Competitivo",IFERROR(VLOOKUP(B11,'01_BASE_COMERCIAL'!$A$4:$I$50,7,FALSE),0),IF(F11="Premium",IFERROR(VLOOKUP(B11,'01_BASE_COMERCIAL'!$A$4:$I$50,9,FALSE),0),IFERROR(VLOOKUP(B11,'01_BASE_COMERCIAL'!$A$4:$I$50,8,FALSE),0)))))</x:f>
      </x:c>
      <x:c r="I11" s="66" t="n">
        <x:f>E11*H11</x:f>
        <x:v>0</x:v>
      </x:c>
      <x:c r="J11" s="25"/>
      <x:c r="K11" s="25"/>
      <x:c r="L11" s="25"/>
      <x:c r="M11" s="25"/>
    </x:row>
    <x:row r="12" ht="15" hidden="0" customHeight="1">
      <x:c r="A12" s="49" t="n">
        <x:v>5</x:v>
      </x:c>
      <x:c r="B12" s="36"/>
      <x:c r="C12" s="25" t="str">
        <x:f>IFERROR(VLOOKUP(B12,'01_BASE_COMERCIAL'!$A$4:$I$50,2,FALSE),"")</x:f>
      </x:c>
      <x:c r="D12" s="25" t="str">
        <x:f>IFERROR(VLOOKUP(B12,'01_BASE_COMERCIAL'!$A$4:$I$50,3,FALSE),"")</x:f>
      </x:c>
      <x:c r="E12" s="36"/>
      <x:c r="F12" s="36" t="str">
        <x:v>Ideal BINO</x:v>
      </x:c>
      <x:c r="G12" s="40"/>
      <x:c r="H12" s="30" t="str">
        <x:f>IF(G12&gt;0,G12,IF(F12="Piso / Recusa",IFERROR(VLOOKUP(B12,'01_BASE_COMERCIAL'!$A$4:$I$50,6,FALSE),0),IF(F12="Competitivo",IFERROR(VLOOKUP(B12,'01_BASE_COMERCIAL'!$A$4:$I$50,7,FALSE),0),IF(F12="Premium",IFERROR(VLOOKUP(B12,'01_BASE_COMERCIAL'!$A$4:$I$50,9,FALSE),0),IFERROR(VLOOKUP(B12,'01_BASE_COMERCIAL'!$A$4:$I$50,8,FALSE),0)))))</x:f>
      </x:c>
      <x:c r="I12" s="66" t="n">
        <x:f>E12*H12</x:f>
        <x:v>0</x:v>
      </x:c>
      <x:c r="J12" s="25"/>
      <x:c r="K12" s="25"/>
      <x:c r="L12" s="25"/>
      <x:c r="M12" s="25"/>
    </x:row>
    <x:row r="13" ht="15" hidden="0" customHeight="1">
      <x:c r="A13" s="49" t="n">
        <x:v>6</x:v>
      </x:c>
      <x:c r="B13" s="36"/>
      <x:c r="C13" s="25" t="str">
        <x:f>IFERROR(VLOOKUP(B13,'01_BASE_COMERCIAL'!$A$4:$I$50,2,FALSE),"")</x:f>
      </x:c>
      <x:c r="D13" s="25" t="str">
        <x:f>IFERROR(VLOOKUP(B13,'01_BASE_COMERCIAL'!$A$4:$I$50,3,FALSE),"")</x:f>
      </x:c>
      <x:c r="E13" s="36"/>
      <x:c r="F13" s="36" t="str">
        <x:v>Ideal BINO</x:v>
      </x:c>
      <x:c r="G13" s="40"/>
      <x:c r="H13" s="30" t="str">
        <x:f>IF(G13&gt;0,G13,IF(F13="Piso / Recusa",IFERROR(VLOOKUP(B13,'01_BASE_COMERCIAL'!$A$4:$I$50,6,FALSE),0),IF(F13="Competitivo",IFERROR(VLOOKUP(B13,'01_BASE_COMERCIAL'!$A$4:$I$50,7,FALSE),0),IF(F13="Premium",IFERROR(VLOOKUP(B13,'01_BASE_COMERCIAL'!$A$4:$I$50,9,FALSE),0),IFERROR(VLOOKUP(B13,'01_BASE_COMERCIAL'!$A$4:$I$50,8,FALSE),0)))))</x:f>
      </x:c>
      <x:c r="I13" s="66" t="n">
        <x:f>E13*H13</x:f>
        <x:v>0</x:v>
      </x:c>
      <x:c r="J13" s="25"/>
      <x:c r="K13" s="25"/>
      <x:c r="L13" s="25"/>
      <x:c r="M13" s="25"/>
    </x:row>
    <x:row r="14" ht="15" hidden="0" customHeight="1">
      <x:c r="A14" s="49" t="n">
        <x:v>7</x:v>
      </x:c>
      <x:c r="B14" s="36"/>
      <x:c r="C14" s="25" t="str">
        <x:f>IFERROR(VLOOKUP(B14,'01_BASE_COMERCIAL'!$A$4:$I$50,2,FALSE),"")</x:f>
      </x:c>
      <x:c r="D14" s="25" t="str">
        <x:f>IFERROR(VLOOKUP(B14,'01_BASE_COMERCIAL'!$A$4:$I$50,3,FALSE),"")</x:f>
      </x:c>
      <x:c r="E14" s="36"/>
      <x:c r="F14" s="36" t="str">
        <x:v>Ideal BINO</x:v>
      </x:c>
      <x:c r="G14" s="40"/>
      <x:c r="H14" s="30" t="str">
        <x:f>IF(G14&gt;0,G14,IF(F14="Piso / Recusa",IFERROR(VLOOKUP(B14,'01_BASE_COMERCIAL'!$A$4:$I$50,6,FALSE),0),IF(F14="Competitivo",IFERROR(VLOOKUP(B14,'01_BASE_COMERCIAL'!$A$4:$I$50,7,FALSE),0),IF(F14="Premium",IFERROR(VLOOKUP(B14,'01_BASE_COMERCIAL'!$A$4:$I$50,9,FALSE),0),IFERROR(VLOOKUP(B14,'01_BASE_COMERCIAL'!$A$4:$I$50,8,FALSE),0)))))</x:f>
      </x:c>
      <x:c r="I14" s="66" t="n">
        <x:f>E14*H14</x:f>
        <x:v>0</x:v>
      </x:c>
      <x:c r="J14" s="25"/>
      <x:c r="K14" s="25"/>
      <x:c r="L14" s="25"/>
      <x:c r="M14" s="25"/>
    </x:row>
    <x:row r="15" ht="15" hidden="0" customHeight="1">
      <x:c r="A15" s="49" t="n">
        <x:v>8</x:v>
      </x:c>
      <x:c r="B15" s="36"/>
      <x:c r="C15" s="25" t="str">
        <x:f>IFERROR(VLOOKUP(B15,'01_BASE_COMERCIAL'!$A$4:$I$50,2,FALSE),"")</x:f>
      </x:c>
      <x:c r="D15" s="25" t="str">
        <x:f>IFERROR(VLOOKUP(B15,'01_BASE_COMERCIAL'!$A$4:$I$50,3,FALSE),"")</x:f>
      </x:c>
      <x:c r="E15" s="36"/>
      <x:c r="F15" s="36" t="str">
        <x:v>Ideal BINO</x:v>
      </x:c>
      <x:c r="G15" s="40"/>
      <x:c r="H15" s="30" t="str">
        <x:f>IF(G15&gt;0,G15,IF(F15="Piso / Recusa",IFERROR(VLOOKUP(B15,'01_BASE_COMERCIAL'!$A$4:$I$50,6,FALSE),0),IF(F15="Competitivo",IFERROR(VLOOKUP(B15,'01_BASE_COMERCIAL'!$A$4:$I$50,7,FALSE),0),IF(F15="Premium",IFERROR(VLOOKUP(B15,'01_BASE_COMERCIAL'!$A$4:$I$50,9,FALSE),0),IFERROR(VLOOKUP(B15,'01_BASE_COMERCIAL'!$A$4:$I$50,8,FALSE),0)))))</x:f>
      </x:c>
      <x:c r="I15" s="66" t="n">
        <x:f>E15*H15</x:f>
        <x:v>0</x:v>
      </x:c>
      <x:c r="J15" s="25"/>
      <x:c r="K15" s="25"/>
      <x:c r="L15" s="25"/>
      <x:c r="M15" s="25"/>
    </x:row>
    <x:row r="16" ht="15" hidden="0" customHeight="1">
      <x:c r="A16" s="49" t="n">
        <x:v>9</x:v>
      </x:c>
      <x:c r="B16" s="36"/>
      <x:c r="C16" s="25" t="str">
        <x:f>IFERROR(VLOOKUP(B16,'01_BASE_COMERCIAL'!$A$4:$I$50,2,FALSE),"")</x:f>
      </x:c>
      <x:c r="D16" s="25" t="str">
        <x:f>IFERROR(VLOOKUP(B16,'01_BASE_COMERCIAL'!$A$4:$I$50,3,FALSE),"")</x:f>
      </x:c>
      <x:c r="E16" s="36"/>
      <x:c r="F16" s="36" t="str">
        <x:v>Ideal BINO</x:v>
      </x:c>
      <x:c r="G16" s="40"/>
      <x:c r="H16" s="30" t="str">
        <x:f>IF(G16&gt;0,G16,IF(F16="Piso / Recusa",IFERROR(VLOOKUP(B16,'01_BASE_COMERCIAL'!$A$4:$I$50,6,FALSE),0),IF(F16="Competitivo",IFERROR(VLOOKUP(B16,'01_BASE_COMERCIAL'!$A$4:$I$50,7,FALSE),0),IF(F16="Premium",IFERROR(VLOOKUP(B16,'01_BASE_COMERCIAL'!$A$4:$I$50,9,FALSE),0),IFERROR(VLOOKUP(B16,'01_BASE_COMERCIAL'!$A$4:$I$50,8,FALSE),0)))))</x:f>
      </x:c>
      <x:c r="I16" s="66" t="n">
        <x:f>E16*H16</x:f>
        <x:v>0</x:v>
      </x:c>
      <x:c r="J16" s="25"/>
      <x:c r="K16" s="25"/>
      <x:c r="L16" s="25"/>
      <x:c r="M16" s="25"/>
    </x:row>
    <x:row r="17" ht="15" hidden="0" customHeight="1">
      <x:c r="A17" s="49" t="n">
        <x:v>10</x:v>
      </x:c>
      <x:c r="B17" s="36"/>
      <x:c r="C17" s="25" t="str">
        <x:f>IFERROR(VLOOKUP(B17,'01_BASE_COMERCIAL'!$A$4:$I$50,2,FALSE),"")</x:f>
      </x:c>
      <x:c r="D17" s="25" t="str">
        <x:f>IFERROR(VLOOKUP(B17,'01_BASE_COMERCIAL'!$A$4:$I$50,3,FALSE),"")</x:f>
      </x:c>
      <x:c r="E17" s="36"/>
      <x:c r="F17" s="36" t="str">
        <x:v>Ideal BINO</x:v>
      </x:c>
      <x:c r="G17" s="40"/>
      <x:c r="H17" s="30" t="str">
        <x:f>IF(G17&gt;0,G17,IF(F17="Piso / Recusa",IFERROR(VLOOKUP(B17,'01_BASE_COMERCIAL'!$A$4:$I$50,6,FALSE),0),IF(F17="Competitivo",IFERROR(VLOOKUP(B17,'01_BASE_COMERCIAL'!$A$4:$I$50,7,FALSE),0),IF(F17="Premium",IFERROR(VLOOKUP(B17,'01_BASE_COMERCIAL'!$A$4:$I$50,9,FALSE),0),IFERROR(VLOOKUP(B17,'01_BASE_COMERCIAL'!$A$4:$I$50,8,FALSE),0)))))</x:f>
      </x:c>
      <x:c r="I17" s="66" t="n">
        <x:f>E17*H17</x:f>
        <x:v>0</x:v>
      </x:c>
      <x:c r="J17" s="25"/>
      <x:c r="K17" s="25"/>
      <x:c r="L17" s="25"/>
      <x:c r="M17" s="25"/>
    </x:row>
    <x:row r="18" ht="15" hidden="0" customHeight="1">
      <x:c r="A18" s="49" t="n">
        <x:v>11</x:v>
      </x:c>
      <x:c r="B18" s="36"/>
      <x:c r="C18" s="25" t="str">
        <x:f>IFERROR(VLOOKUP(B18,'01_BASE_COMERCIAL'!$A$4:$I$50,2,FALSE),"")</x:f>
      </x:c>
      <x:c r="D18" s="25" t="str">
        <x:f>IFERROR(VLOOKUP(B18,'01_BASE_COMERCIAL'!$A$4:$I$50,3,FALSE),"")</x:f>
      </x:c>
      <x:c r="E18" s="36"/>
      <x:c r="F18" s="36" t="str">
        <x:v>Ideal BINO</x:v>
      </x:c>
      <x:c r="G18" s="40"/>
      <x:c r="H18" s="30" t="str">
        <x:f>IF(G18&gt;0,G18,IF(F18="Piso / Recusa",IFERROR(VLOOKUP(B18,'01_BASE_COMERCIAL'!$A$4:$I$50,6,FALSE),0),IF(F18="Competitivo",IFERROR(VLOOKUP(B18,'01_BASE_COMERCIAL'!$A$4:$I$50,7,FALSE),0),IF(F18="Premium",IFERROR(VLOOKUP(B18,'01_BASE_COMERCIAL'!$A$4:$I$50,9,FALSE),0),IFERROR(VLOOKUP(B18,'01_BASE_COMERCIAL'!$A$4:$I$50,8,FALSE),0)))))</x:f>
      </x:c>
      <x:c r="I18" s="66" t="n">
        <x:f>E18*H18</x:f>
        <x:v>0</x:v>
      </x:c>
      <x:c r="J18" s="25"/>
      <x:c r="K18" s="25"/>
      <x:c r="L18" s="25"/>
      <x:c r="M18" s="25"/>
    </x:row>
    <x:row r="19" ht="15" hidden="0" customHeight="1">
      <x:c r="A19" s="49" t="n">
        <x:v>12</x:v>
      </x:c>
      <x:c r="B19" s="36"/>
      <x:c r="C19" s="25" t="str">
        <x:f>IFERROR(VLOOKUP(B19,'01_BASE_COMERCIAL'!$A$4:$I$50,2,FALSE),"")</x:f>
      </x:c>
      <x:c r="D19" s="25" t="str">
        <x:f>IFERROR(VLOOKUP(B19,'01_BASE_COMERCIAL'!$A$4:$I$50,3,FALSE),"")</x:f>
      </x:c>
      <x:c r="E19" s="36"/>
      <x:c r="F19" s="36" t="str">
        <x:v>Ideal BINO</x:v>
      </x:c>
      <x:c r="G19" s="40"/>
      <x:c r="H19" s="30" t="str">
        <x:f>IF(G19&gt;0,G19,IF(F19="Piso / Recusa",IFERROR(VLOOKUP(B19,'01_BASE_COMERCIAL'!$A$4:$I$50,6,FALSE),0),IF(F19="Competitivo",IFERROR(VLOOKUP(B19,'01_BASE_COMERCIAL'!$A$4:$I$50,7,FALSE),0),IF(F19="Premium",IFERROR(VLOOKUP(B19,'01_BASE_COMERCIAL'!$A$4:$I$50,9,FALSE),0),IFERROR(VLOOKUP(B19,'01_BASE_COMERCIAL'!$A$4:$I$50,8,FALSE),0)))))</x:f>
      </x:c>
      <x:c r="I19" s="66" t="n">
        <x:f>E19*H19</x:f>
        <x:v>0</x:v>
      </x:c>
      <x:c r="J19" s="25"/>
      <x:c r="K19" s="25"/>
      <x:c r="L19" s="25"/>
      <x:c r="M19" s="25"/>
    </x:row>
    <x:row r="20" ht="15" hidden="0" customHeight="1">
      <x:c r="A20" s="49" t="n">
        <x:v>13</x:v>
      </x:c>
      <x:c r="B20" s="36"/>
      <x:c r="C20" s="25" t="str">
        <x:f>IFERROR(VLOOKUP(B20,'01_BASE_COMERCIAL'!$A$4:$I$50,2,FALSE),"")</x:f>
      </x:c>
      <x:c r="D20" s="25" t="str">
        <x:f>IFERROR(VLOOKUP(B20,'01_BASE_COMERCIAL'!$A$4:$I$50,3,FALSE),"")</x:f>
      </x:c>
      <x:c r="E20" s="36"/>
      <x:c r="F20" s="36" t="str">
        <x:v>Ideal BINO</x:v>
      </x:c>
      <x:c r="G20" s="40"/>
      <x:c r="H20" s="30" t="str">
        <x:f>IF(G20&gt;0,G20,IF(F20="Piso / Recusa",IFERROR(VLOOKUP(B20,'01_BASE_COMERCIAL'!$A$4:$I$50,6,FALSE),0),IF(F20="Competitivo",IFERROR(VLOOKUP(B20,'01_BASE_COMERCIAL'!$A$4:$I$50,7,FALSE),0),IF(F20="Premium",IFERROR(VLOOKUP(B20,'01_BASE_COMERCIAL'!$A$4:$I$50,9,FALSE),0),IFERROR(VLOOKUP(B20,'01_BASE_COMERCIAL'!$A$4:$I$50,8,FALSE),0)))))</x:f>
      </x:c>
      <x:c r="I20" s="66" t="n">
        <x:f>E20*H20</x:f>
        <x:v>0</x:v>
      </x:c>
      <x:c r="J20" s="25"/>
      <x:c r="K20" s="25"/>
      <x:c r="L20" s="25"/>
      <x:c r="M20" s="25"/>
    </x:row>
    <x:row r="21" ht="15" hidden="0" customHeight="1">
      <x:c r="A21" s="49" t="n">
        <x:v>14</x:v>
      </x:c>
      <x:c r="B21" s="36"/>
      <x:c r="C21" s="25" t="str">
        <x:f>IFERROR(VLOOKUP(B21,'01_BASE_COMERCIAL'!$A$4:$I$50,2,FALSE),"")</x:f>
      </x:c>
      <x:c r="D21" s="25" t="str">
        <x:f>IFERROR(VLOOKUP(B21,'01_BASE_COMERCIAL'!$A$4:$I$50,3,FALSE),"")</x:f>
      </x:c>
      <x:c r="E21" s="36"/>
      <x:c r="F21" s="36" t="str">
        <x:v>Ideal BINO</x:v>
      </x:c>
      <x:c r="G21" s="40"/>
      <x:c r="H21" s="30" t="str">
        <x:f>IF(G21&gt;0,G21,IF(F21="Piso / Recusa",IFERROR(VLOOKUP(B21,'01_BASE_COMERCIAL'!$A$4:$I$50,6,FALSE),0),IF(F21="Competitivo",IFERROR(VLOOKUP(B21,'01_BASE_COMERCIAL'!$A$4:$I$50,7,FALSE),0),IF(F21="Premium",IFERROR(VLOOKUP(B21,'01_BASE_COMERCIAL'!$A$4:$I$50,9,FALSE),0),IFERROR(VLOOKUP(B21,'01_BASE_COMERCIAL'!$A$4:$I$50,8,FALSE),0)))))</x:f>
      </x:c>
      <x:c r="I21" s="66" t="n">
        <x:f>E21*H21</x:f>
        <x:v>0</x:v>
      </x:c>
      <x:c r="J21" s="25"/>
      <x:c r="K21" s="25"/>
      <x:c r="L21" s="25"/>
      <x:c r="M21" s="25"/>
    </x:row>
    <x:row r="22" ht="15" hidden="0" customHeight="1">
      <x:c r="A22" s="49" t="n">
        <x:v>15</x:v>
      </x:c>
      <x:c r="B22" s="36"/>
      <x:c r="C22" s="25" t="str">
        <x:f>IFERROR(VLOOKUP(B22,'01_BASE_COMERCIAL'!$A$4:$I$50,2,FALSE),"")</x:f>
      </x:c>
      <x:c r="D22" s="25" t="str">
        <x:f>IFERROR(VLOOKUP(B22,'01_BASE_COMERCIAL'!$A$4:$I$50,3,FALSE),"")</x:f>
      </x:c>
      <x:c r="E22" s="36"/>
      <x:c r="F22" s="36" t="str">
        <x:v>Ideal BINO</x:v>
      </x:c>
      <x:c r="G22" s="40"/>
      <x:c r="H22" s="30" t="str">
        <x:f>IF(G22&gt;0,G22,IF(F22="Piso / Recusa",IFERROR(VLOOKUP(B22,'01_BASE_COMERCIAL'!$A$4:$I$50,6,FALSE),0),IF(F22="Competitivo",IFERROR(VLOOKUP(B22,'01_BASE_COMERCIAL'!$A$4:$I$50,7,FALSE),0),IF(F22="Premium",IFERROR(VLOOKUP(B22,'01_BASE_COMERCIAL'!$A$4:$I$50,9,FALSE),0),IFERROR(VLOOKUP(B22,'01_BASE_COMERCIAL'!$A$4:$I$50,8,FALSE),0)))))</x:f>
      </x:c>
      <x:c r="I22" s="66" t="n">
        <x:f>E22*H22</x:f>
        <x:v>0</x:v>
      </x:c>
      <x:c r="J22" s="25"/>
      <x:c r="K22" s="25"/>
      <x:c r="L22" s="25"/>
      <x:c r="M22" s="25"/>
    </x:row>
    <x:row r="23" ht="15" hidden="0" customHeight="1">
      <x:c r="A23" s="49" t="n">
        <x:v>16</x:v>
      </x:c>
      <x:c r="B23" s="36"/>
      <x:c r="C23" s="25" t="str">
        <x:f>IFERROR(VLOOKUP(B23,'01_BASE_COMERCIAL'!$A$4:$I$50,2,FALSE),"")</x:f>
      </x:c>
      <x:c r="D23" s="25" t="str">
        <x:f>IFERROR(VLOOKUP(B23,'01_BASE_COMERCIAL'!$A$4:$I$50,3,FALSE),"")</x:f>
      </x:c>
      <x:c r="E23" s="36"/>
      <x:c r="F23" s="36" t="str">
        <x:v>Ideal BINO</x:v>
      </x:c>
      <x:c r="G23" s="40"/>
      <x:c r="H23" s="30" t="str">
        <x:f>IF(G23&gt;0,G23,IF(F23="Piso / Recusa",IFERROR(VLOOKUP(B23,'01_BASE_COMERCIAL'!$A$4:$I$50,6,FALSE),0),IF(F23="Competitivo",IFERROR(VLOOKUP(B23,'01_BASE_COMERCIAL'!$A$4:$I$50,7,FALSE),0),IF(F23="Premium",IFERROR(VLOOKUP(B23,'01_BASE_COMERCIAL'!$A$4:$I$50,9,FALSE),0),IFERROR(VLOOKUP(B23,'01_BASE_COMERCIAL'!$A$4:$I$50,8,FALSE),0)))))</x:f>
      </x:c>
      <x:c r="I23" s="66" t="n">
        <x:f>E23*H23</x:f>
        <x:v>0</x:v>
      </x:c>
      <x:c r="J23" s="25"/>
      <x:c r="K23" s="25"/>
      <x:c r="L23" s="25"/>
      <x:c r="M23" s="25"/>
    </x:row>
    <x:row r="24" ht="15" hidden="0" customHeight="1">
      <x:c r="A24" s="49" t="n">
        <x:v>17</x:v>
      </x:c>
      <x:c r="B24" s="36"/>
      <x:c r="C24" s="25" t="str">
        <x:f>IFERROR(VLOOKUP(B24,'01_BASE_COMERCIAL'!$A$4:$I$50,2,FALSE),"")</x:f>
      </x:c>
      <x:c r="D24" s="25" t="str">
        <x:f>IFERROR(VLOOKUP(B24,'01_BASE_COMERCIAL'!$A$4:$I$50,3,FALSE),"")</x:f>
      </x:c>
      <x:c r="E24" s="36"/>
      <x:c r="F24" s="36" t="str">
        <x:v>Ideal BINO</x:v>
      </x:c>
      <x:c r="G24" s="40"/>
      <x:c r="H24" s="30" t="str">
        <x:f>IF(G24&gt;0,G24,IF(F24="Piso / Recusa",IFERROR(VLOOKUP(B24,'01_BASE_COMERCIAL'!$A$4:$I$50,6,FALSE),0),IF(F24="Competitivo",IFERROR(VLOOKUP(B24,'01_BASE_COMERCIAL'!$A$4:$I$50,7,FALSE),0),IF(F24="Premium",IFERROR(VLOOKUP(B24,'01_BASE_COMERCIAL'!$A$4:$I$50,9,FALSE),0),IFERROR(VLOOKUP(B24,'01_BASE_COMERCIAL'!$A$4:$I$50,8,FALSE),0)))))</x:f>
      </x:c>
      <x:c r="I24" s="66" t="n">
        <x:f>E24*H24</x:f>
        <x:v>0</x:v>
      </x:c>
      <x:c r="J24" s="25"/>
      <x:c r="K24" s="25"/>
      <x:c r="L24" s="25"/>
      <x:c r="M24" s="25"/>
    </x:row>
    <x:row r="25" ht="15" hidden="0" customHeight="1">
      <x:c r="A25" s="49" t="n">
        <x:v>18</x:v>
      </x:c>
      <x:c r="B25" s="36"/>
      <x:c r="C25" s="25" t="str">
        <x:f>IFERROR(VLOOKUP(B25,'01_BASE_COMERCIAL'!$A$4:$I$50,2,FALSE),"")</x:f>
      </x:c>
      <x:c r="D25" s="25" t="str">
        <x:f>IFERROR(VLOOKUP(B25,'01_BASE_COMERCIAL'!$A$4:$I$50,3,FALSE),"")</x:f>
      </x:c>
      <x:c r="E25" s="36"/>
      <x:c r="F25" s="36" t="str">
        <x:v>Ideal BINO</x:v>
      </x:c>
      <x:c r="G25" s="40"/>
      <x:c r="H25" s="30" t="str">
        <x:f>IF(G25&gt;0,G25,IF(F25="Piso / Recusa",IFERROR(VLOOKUP(B25,'01_BASE_COMERCIAL'!$A$4:$I$50,6,FALSE),0),IF(F25="Competitivo",IFERROR(VLOOKUP(B25,'01_BASE_COMERCIAL'!$A$4:$I$50,7,FALSE),0),IF(F25="Premium",IFERROR(VLOOKUP(B25,'01_BASE_COMERCIAL'!$A$4:$I$50,9,FALSE),0),IFERROR(VLOOKUP(B25,'01_BASE_COMERCIAL'!$A$4:$I$50,8,FALSE),0)))))</x:f>
      </x:c>
      <x:c r="I25" s="66" t="n">
        <x:f>E25*H25</x:f>
        <x:v>0</x:v>
      </x:c>
      <x:c r="J25" s="25"/>
      <x:c r="K25" s="25"/>
      <x:c r="L25" s="25"/>
      <x:c r="M25" s="25"/>
    </x:row>
    <x:row r="26" ht="15" hidden="0" customHeight="1">
      <x:c r="A26" s="49" t="n">
        <x:v>19</x:v>
      </x:c>
      <x:c r="B26" s="36"/>
      <x:c r="C26" s="25" t="str">
        <x:f>IFERROR(VLOOKUP(B26,'01_BASE_COMERCIAL'!$A$4:$I$50,2,FALSE),"")</x:f>
      </x:c>
      <x:c r="D26" s="25" t="str">
        <x:f>IFERROR(VLOOKUP(B26,'01_BASE_COMERCIAL'!$A$4:$I$50,3,FALSE),"")</x:f>
      </x:c>
      <x:c r="E26" s="36"/>
      <x:c r="F26" s="36" t="str">
        <x:v>Ideal BINO</x:v>
      </x:c>
      <x:c r="G26" s="40"/>
      <x:c r="H26" s="30" t="str">
        <x:f>IF(G26&gt;0,G26,IF(F26="Piso / Recusa",IFERROR(VLOOKUP(B26,'01_BASE_COMERCIAL'!$A$4:$I$50,6,FALSE),0),IF(F26="Competitivo",IFERROR(VLOOKUP(B26,'01_BASE_COMERCIAL'!$A$4:$I$50,7,FALSE),0),IF(F26="Premium",IFERROR(VLOOKUP(B26,'01_BASE_COMERCIAL'!$A$4:$I$50,9,FALSE),0),IFERROR(VLOOKUP(B26,'01_BASE_COMERCIAL'!$A$4:$I$50,8,FALSE),0)))))</x:f>
      </x:c>
      <x:c r="I26" s="66" t="n">
        <x:f>E26*H26</x:f>
        <x:v>0</x:v>
      </x:c>
      <x:c r="J26" s="25"/>
      <x:c r="K26" s="25"/>
      <x:c r="L26" s="25"/>
      <x:c r="M26" s="25"/>
    </x:row>
    <x:row r="27" ht="15" hidden="0" customHeight="1">
      <x:c r="A27" s="51" t="n">
        <x:v>20</x:v>
      </x:c>
      <x:c r="B27" s="67"/>
      <x:c r="C27" s="52" t="str">
        <x:f>IFERROR(VLOOKUP(B27,'01_BASE_COMERCIAL'!$A$4:$I$50,2,FALSE),"")</x:f>
      </x:c>
      <x:c r="D27" s="52" t="str">
        <x:f>IFERROR(VLOOKUP(B27,'01_BASE_COMERCIAL'!$A$4:$I$50,3,FALSE),"")</x:f>
      </x:c>
      <x:c r="E27" s="67"/>
      <x:c r="F27" s="67" t="str">
        <x:v>Ideal BINO</x:v>
      </x:c>
      <x:c r="G27" s="54"/>
      <x:c r="H27" s="53" t="str">
        <x:f>IF(G27&gt;0,G27,IF(F27="Piso / Recusa",IFERROR(VLOOKUP(B27,'01_BASE_COMERCIAL'!$A$4:$I$50,6,FALSE),0),IF(F27="Competitivo",IFERROR(VLOOKUP(B27,'01_BASE_COMERCIAL'!$A$4:$I$50,7,FALSE),0),IF(F27="Premium",IFERROR(VLOOKUP(B27,'01_BASE_COMERCIAL'!$A$4:$I$50,9,FALSE),0),IFERROR(VLOOKUP(B27,'01_BASE_COMERCIAL'!$A$4:$I$50,8,FALSE),0)))))</x:f>
      </x:c>
      <x:c r="I27" s="68" t="n">
        <x:f>E27*H27</x:f>
        <x:v>0</x:v>
      </x:c>
      <x:c r="J27" s="25"/>
      <x:c r="K27" s="25"/>
      <x:c r="L27" s="25"/>
      <x:c r="M27" s="25"/>
    </x:row>
    <x:row r="28" ht="15" hidden="0" customHeight="1">
      <x:c r="A28" s="25"/>
      <x:c r="B28" s="25"/>
      <x:c r="C28" s="25"/>
      <x:c r="D28" s="25"/>
      <x:c r="E28" s="25"/>
      <x:c r="F28" s="25"/>
      <x:c r="G28" s="30"/>
      <x:c r="H28" s="30"/>
      <x:c r="I28" s="30"/>
      <x:c r="J28" s="25"/>
      <x:c r="K28" s="25"/>
      <x:c r="L28" s="25"/>
      <x:c r="M28" s="25"/>
    </x:row>
    <x:row r="29" ht="15" hidden="0" customHeight="1">
      <x:c r="A29" s="25"/>
      <x:c r="B29" s="25"/>
      <x:c r="C29" s="25"/>
      <x:c r="D29" s="25"/>
      <x:c r="E29" s="25"/>
      <x:c r="F29" s="25"/>
      <x:c r="G29" s="30"/>
      <x:c r="H29" s="30"/>
      <x:c r="I29" s="30"/>
      <x:c r="J29" s="25"/>
      <x:c r="K29" s="25"/>
      <x:c r="L29" s="25"/>
      <x:c r="M29" s="25"/>
    </x:row>
    <x:row r="30" ht="28.799999237060547" hidden="0" customHeight="1">
      <x:c r="A30" s="24" t="str">
        <x:v>RESUMO</x:v>
      </x:c>
      <x:c r="B30" s="24"/>
      <x:c r="C30" s="24"/>
      <x:c r="D30" s="24"/>
      <x:c r="E30" s="24"/>
      <x:c r="F30" s="24"/>
      <x:c r="G30" s="37"/>
      <x:c r="H30" s="37"/>
      <x:c r="I30" s="37"/>
      <x:c r="J30" s="25"/>
      <x:c r="K30" s="25"/>
      <x:c r="L30" s="25"/>
      <x:c r="M30" s="25"/>
    </x:row>
    <x:row r="31" ht="24" hidden="0" customHeight="1">
      <x:c r="A31" s="25" t="str">
        <x:v>Subtotal itens</x:v>
      </x:c>
      <x:c r="B31" s="25"/>
      <x:c r="C31" s="25"/>
      <x:c r="D31" s="25"/>
      <x:c r="E31" s="25"/>
      <x:c r="F31" s="25"/>
      <x:c r="G31" s="30"/>
      <x:c r="H31" s="30"/>
      <x:c r="I31" s="30" t="n">
        <x:f>SUM(I8:I27)</x:f>
        <x:v>0</x:v>
      </x:c>
      <x:c r="J31" s="25"/>
      <x:c r="K31" s="25"/>
      <x:c r="L31" s="25"/>
      <x:c r="M31" s="25"/>
    </x:row>
    <x:row r="32" ht="48" hidden="0" customHeight="1">
      <x:c r="A32" s="25" t="str">
        <x:v>Logística / instalação</x:v>
      </x:c>
      <x:c r="B32" s="25"/>
      <x:c r="C32" s="25"/>
      <x:c r="D32" s="25"/>
      <x:c r="E32" s="25"/>
      <x:c r="F32" s="25"/>
      <x:c r="G32" s="30"/>
      <x:c r="H32" s="30"/>
      <x:c r="I32" s="30" t="n">
        <x:f>'03_LOGISTICA'!E20</x:f>
        <x:v>0</x:v>
      </x:c>
      <x:c r="J32" s="25"/>
      <x:c r="K32" s="25"/>
      <x:c r="L32" s="25"/>
      <x:c r="M32" s="25"/>
    </x:row>
    <x:row r="33" ht="36" hidden="0" customHeight="1">
      <x:c r="A33" s="25" t="str">
        <x:v>TOTAL COMERCIAL</x:v>
      </x:c>
      <x:c r="B33" s="25"/>
      <x:c r="C33" s="25"/>
      <x:c r="D33" s="25"/>
      <x:c r="E33" s="25"/>
      <x:c r="F33" s="25"/>
      <x:c r="G33" s="30"/>
      <x:c r="H33" s="30"/>
      <x:c r="I33" s="30" t="n">
        <x:f>I31+I32</x:f>
        <x:v>0</x:v>
      </x:c>
      <x:c r="J33" s="25"/>
      <x:c r="K33" s="25"/>
      <x:c r="L33" s="25"/>
      <x:c r="M33" s="25"/>
    </x:row>
    <x:row r="34" ht="15" hidden="0" customHeight="1">
      <x:c r="A34" s="25" t="str">
        <x:v>Nota</x:v>
      </x:c>
      <x:c r="B34" s="25" t="str">
        <x:v>Não aplicar outra margem ao total. Este total já é preço comercial + logística.</x:v>
      </x:c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</x:row>
  </x:sheetData>
  <x:mergeCells>
    <x:mergeCell ref="A1:I1"/>
    <x:mergeCell ref="B34:I34"/>
  </x:mergeCells>
  <x:dataValidations count="2">
    <x:dataValidation type="list" sqref="F8:F27">
      <x:formula1>"Piso / Recusa,Competitivo,Ideal BINO,Premium"</x:formula1>
    </x:dataValidation>
    <x:dataValidation type="list" sqref="B8:B27">
      <x:formula1>'01_BASE_COMERCIAL'!$A$4:$A$9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8" hidden="0" customWidth="1"/>
    <x:col min="4" max="4" width="16" hidden="0" customWidth="1"/>
    <x:col min="5" max="5" width="18" hidden="0" customWidth="1"/>
  </x:cols>
  <x:sheetData>
    <x:row r="1" ht="26" customHeight="1">
      <x:c r="A1" s="24" t="str">
        <x:v>03 | LOGÍSTICA E INSTALAÇÃO — SOMAR UMA VEZ</x:v>
      </x:c>
      <x:c r="B1" s="24"/>
      <x:c r="C1" s="24"/>
      <x:c r="D1" s="24"/>
      <x:c r="E1" s="24"/>
      <x:c r="F1" s="24"/>
      <x:c r="G1" s="25"/>
      <x:c r="H1" s="25"/>
      <x:c r="I1" s="25"/>
      <x:c r="J1" s="25"/>
      <x:c r="K1" s="25"/>
      <x:c r="L1" s="25"/>
      <x:c r="M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</x:row>
    <x:row r="3" ht="15" hidden="0" customHeight="1">
      <x:c r="A3" s="46" t="str">
        <x:v>Parâmetro</x:v>
      </x:c>
      <x:c r="B3" s="47" t="str">
        <x:v>Qtd.</x:v>
      </x:c>
      <x:c r="C3" s="47" t="str">
        <x:v>Unidade</x:v>
      </x:c>
      <x:c r="D3" s="47" t="str">
        <x:v>Valor unit.</x:v>
      </x:c>
      <x:c r="E3" s="48" t="str">
        <x:v>Total</x:v>
      </x:c>
      <x:c r="F3" s="25"/>
      <x:c r="G3" s="25"/>
      <x:c r="H3" s="25"/>
      <x:c r="I3" s="25"/>
      <x:c r="J3" s="25"/>
      <x:c r="K3" s="25"/>
      <x:c r="L3" s="25"/>
      <x:c r="M3" s="25"/>
    </x:row>
    <x:row r="4" ht="15" hidden="0" customHeight="1">
      <x:c r="A4" s="49" t="str">
        <x:v>Quilometragem total ida + volta</x:v>
      </x:c>
      <x:c r="B4" s="36" t="n">
        <x:v>0</x:v>
      </x:c>
      <x:c r="C4" s="25" t="str">
        <x:v>km</x:v>
      </x:c>
      <x:c r="D4" s="30" t="n">
        <x:v>4.5</x:v>
      </x:c>
      <x:c r="E4" s="66" t="n">
        <x:f>B4*D4</x:f>
        <x:v>0</x:v>
      </x:c>
      <x:c r="F4" s="25"/>
      <x:c r="G4" s="25"/>
      <x:c r="H4" s="25"/>
      <x:c r="I4" s="25"/>
      <x:c r="J4" s="25"/>
      <x:c r="K4" s="25"/>
      <x:c r="L4" s="25"/>
      <x:c r="M4" s="25"/>
    </x:row>
    <x:row r="5" ht="15" hidden="0" customHeight="1">
      <x:c r="A5" s="49" t="str">
        <x:v>Pedágios</x:v>
      </x:c>
      <x:c r="B5" s="36" t="n">
        <x:v>0</x:v>
      </x:c>
      <x:c r="C5" s="25" t="str">
        <x:v>R$</x:v>
      </x:c>
      <x:c r="D5" s="30" t="n">
        <x:v>1</x:v>
      </x:c>
      <x:c r="E5" s="66" t="n">
        <x:f>B5*D5</x:f>
        <x:v>0</x:v>
      </x:c>
      <x:c r="F5" s="25"/>
      <x:c r="G5" s="25"/>
      <x:c r="H5" s="25"/>
      <x:c r="I5" s="25"/>
      <x:c r="J5" s="25"/>
      <x:c r="K5" s="25"/>
      <x:c r="L5" s="25"/>
      <x:c r="M5" s="25"/>
    </x:row>
    <x:row r="6" ht="15" hidden="0" customHeight="1">
      <x:c r="A6" s="49" t="str">
        <x:v>Equipe de instalação</x:v>
      </x:c>
      <x:c r="B6" s="36" t="n">
        <x:v>0</x:v>
      </x:c>
      <x:c r="C6" s="25" t="str">
        <x:v>pessoas</x:v>
      </x:c>
      <x:c r="D6" s="30" t="n">
        <x:v>420</x:v>
      </x:c>
      <x:c r="E6" s="66" t="n">
        <x:f>B6*B7*D6</x:f>
        <x:v>0</x:v>
      </x:c>
      <x:c r="F6" s="25"/>
      <x:c r="G6" s="25"/>
      <x:c r="H6" s="25"/>
      <x:c r="I6" s="25"/>
      <x:c r="J6" s="25"/>
      <x:c r="K6" s="25"/>
      <x:c r="L6" s="25"/>
      <x:c r="M6" s="25"/>
    </x:row>
    <x:row r="7" ht="15" hidden="0" customHeight="1">
      <x:c r="A7" s="49" t="str">
        <x:v>Dias de equipe (instalação + deslocamento)</x:v>
      </x:c>
      <x:c r="B7" s="36" t="n">
        <x:v>0</x:v>
      </x:c>
      <x:c r="C7" s="25" t="str">
        <x:v>dias</x:v>
      </x:c>
      <x:c r="D7" s="30" t="n">
        <x:v>1</x:v>
      </x:c>
      <x:c r="E7" s="66" t="n">
        <x:f>0</x:f>
        <x:v>0</x:v>
      </x:c>
      <x:c r="F7" s="25"/>
      <x:c r="G7" s="25"/>
      <x:c r="H7" s="25"/>
      <x:c r="I7" s="25"/>
      <x:c r="J7" s="25"/>
      <x:c r="K7" s="25"/>
      <x:c r="L7" s="25"/>
      <x:c r="M7" s="25"/>
    </x:row>
    <x:row r="8" ht="15" hidden="0" customHeight="1">
      <x:c r="A8" s="49" t="str">
        <x:v>Alimentação pessoa/dia</x:v>
      </x:c>
      <x:c r="B8" s="36" t="n">
        <x:v>0</x:v>
      </x:c>
      <x:c r="C8" s="25" t="str">
        <x:v>pessoa/dia</x:v>
      </x:c>
      <x:c r="D8" s="30" t="n">
        <x:v>80</x:v>
      </x:c>
      <x:c r="E8" s="66" t="n">
        <x:f>B6*B7*D8</x:f>
        <x:v>0</x:v>
      </x:c>
      <x:c r="F8" s="25"/>
      <x:c r="G8" s="25"/>
      <x:c r="H8" s="25"/>
      <x:c r="I8" s="25"/>
      <x:c r="J8" s="25"/>
      <x:c r="K8" s="25"/>
      <x:c r="L8" s="25"/>
      <x:c r="M8" s="25"/>
    </x:row>
    <x:row r="9" ht="15" hidden="0" customHeight="1">
      <x:c r="A9" s="49" t="str">
        <x:v>Hospedagem pessoa/noite</x:v>
      </x:c>
      <x:c r="B9" s="36" t="n">
        <x:v>0</x:v>
      </x:c>
      <x:c r="C9" s="25" t="str">
        <x:v>pessoa/noite</x:v>
      </x:c>
      <x:c r="D9" s="30" t="n">
        <x:v>320</x:v>
      </x:c>
      <x:c r="E9" s="66" t="n">
        <x:f>B6*B10*D9</x:f>
        <x:v>0</x:v>
      </x:c>
      <x:c r="F9" s="25"/>
      <x:c r="G9" s="25"/>
      <x:c r="H9" s="25"/>
      <x:c r="I9" s="25"/>
      <x:c r="J9" s="25"/>
      <x:c r="K9" s="25"/>
      <x:c r="L9" s="25"/>
      <x:c r="M9" s="25"/>
    </x:row>
    <x:row r="10" ht="15" hidden="0" customHeight="1">
      <x:c r="A10" s="49" t="str">
        <x:v>Noites</x:v>
      </x:c>
      <x:c r="B10" s="36" t="n">
        <x:v>0</x:v>
      </x:c>
      <x:c r="C10" s="25" t="str">
        <x:v>noites</x:v>
      </x:c>
      <x:c r="D10" s="30" t="n">
        <x:v>1</x:v>
      </x:c>
      <x:c r="E10" s="66" t="n">
        <x:f>0</x:f>
        <x:v>0</x:v>
      </x:c>
      <x:c r="F10" s="25"/>
      <x:c r="G10" s="25"/>
      <x:c r="H10" s="25"/>
      <x:c r="I10" s="25"/>
      <x:c r="J10" s="25"/>
      <x:c r="K10" s="25"/>
      <x:c r="L10" s="25"/>
      <x:c r="M10" s="25"/>
    </x:row>
    <x:row r="11" ht="15" hidden="0" customHeight="1">
      <x:c r="A11" s="49" t="str">
        <x:v>Plataforma / munck / guincho</x:v>
      </x:c>
      <x:c r="B11" s="36" t="n">
        <x:v>0</x:v>
      </x:c>
      <x:c r="C11" s="25" t="str">
        <x:v>diárias</x:v>
      </x:c>
      <x:c r="D11" s="30" t="n">
        <x:v>1200</x:v>
      </x:c>
      <x:c r="E11" s="66" t="n">
        <x:f>B11*D11</x:f>
        <x:v>0</x:v>
      </x:c>
      <x:c r="F11" s="25"/>
      <x:c r="G11" s="25"/>
      <x:c r="H11" s="25"/>
      <x:c r="I11" s="25"/>
      <x:c r="J11" s="25"/>
      <x:c r="K11" s="25"/>
      <x:c r="L11" s="25"/>
      <x:c r="M11" s="25"/>
    </x:row>
    <x:row r="12" ht="15" hidden="0" customHeight="1">
      <x:c r="A12" s="49" t="str">
        <x:v>Frete / terceiros</x:v>
      </x:c>
      <x:c r="B12" s="36" t="n">
        <x:v>0</x:v>
      </x:c>
      <x:c r="C12" s="25" t="str">
        <x:v>R$</x:v>
      </x:c>
      <x:c r="D12" s="30" t="n">
        <x:v>1</x:v>
      </x:c>
      <x:c r="E12" s="66" t="n">
        <x:f>B12*D12</x:f>
        <x:v>0</x:v>
      </x:c>
      <x:c r="F12" s="25"/>
      <x:c r="G12" s="25"/>
      <x:c r="H12" s="25"/>
      <x:c r="I12" s="25"/>
      <x:c r="J12" s="25"/>
      <x:c r="K12" s="25"/>
      <x:c r="L12" s="25"/>
      <x:c r="M12" s="25"/>
    </x:row>
    <x:row r="13" ht="15" hidden="0" customHeight="1">
      <x:c r="A13" s="49" t="str">
        <x:v>Outros custos</x:v>
      </x:c>
      <x:c r="B13" s="36" t="n">
        <x:v>0</x:v>
      </x:c>
      <x:c r="C13" s="25" t="str">
        <x:v>R$</x:v>
      </x:c>
      <x:c r="D13" s="30" t="n">
        <x:v>1</x:v>
      </x:c>
      <x:c r="E13" s="66" t="n">
        <x:f>B13*D13</x:f>
        <x:v>0</x:v>
      </x:c>
      <x:c r="F13" s="25"/>
      <x:c r="G13" s="25"/>
      <x:c r="H13" s="25"/>
      <x:c r="I13" s="25"/>
      <x:c r="J13" s="25"/>
      <x:c r="K13" s="25"/>
      <x:c r="L13" s="25"/>
      <x:c r="M13" s="25"/>
    </x:row>
    <x:row r="14" ht="15" hidden="0" customHeight="1">
      <x:c r="A14" s="49"/>
      <x:c r="B14" s="25"/>
      <x:c r="C14" s="25"/>
      <x:c r="D14" s="30"/>
      <x:c r="E14" s="66"/>
      <x:c r="F14" s="25"/>
      <x:c r="G14" s="25"/>
      <x:c r="H14" s="25"/>
      <x:c r="I14" s="25"/>
      <x:c r="J14" s="25"/>
      <x:c r="K14" s="25"/>
      <x:c r="L14" s="25"/>
      <x:c r="M14" s="25"/>
    </x:row>
    <x:row r="15" ht="15" hidden="0" customHeight="1">
      <x:c r="A15" s="72" t="str">
        <x:v>RESUMO</x:v>
      </x:c>
      <x:c r="B15" s="24"/>
      <x:c r="C15" s="24"/>
      <x:c r="D15" s="37"/>
      <x:c r="E15" s="73"/>
      <x:c r="F15" s="25"/>
      <x:c r="G15" s="25"/>
      <x:c r="H15" s="25"/>
      <x:c r="I15" s="25"/>
      <x:c r="J15" s="25"/>
      <x:c r="K15" s="25"/>
      <x:c r="L15" s="25"/>
      <x:c r="M15" s="25"/>
    </x:row>
    <x:row r="16" ht="15" hidden="0" customHeight="1">
      <x:c r="A16" s="49" t="str">
        <x:v>Custo logístico calculado</x:v>
      </x:c>
      <x:c r="B16" s="25"/>
      <x:c r="C16" s="25"/>
      <x:c r="D16" s="30"/>
      <x:c r="E16" s="66" t="n">
        <x:f>SUM(E4:E13)</x:f>
        <x:v>0</x:v>
      </x:c>
      <x:c r="F16" s="25"/>
      <x:c r="G16" s="25"/>
      <x:c r="H16" s="25"/>
      <x:c r="I16" s="25"/>
      <x:c r="J16" s="25"/>
      <x:c r="K16" s="25"/>
      <x:c r="L16" s="25"/>
      <x:c r="M16" s="25"/>
    </x:row>
    <x:row r="17" ht="15" hidden="0" customHeight="1">
      <x:c r="A17" s="49" t="str">
        <x:v>Reserva logística opcional</x:v>
      </x:c>
      <x:c r="B17" s="42" t="n">
        <x:v>0.1</x:v>
      </x:c>
      <x:c r="C17" s="25" t="str">
        <x:v>%</x:v>
      </x:c>
      <x:c r="D17" s="30"/>
      <x:c r="E17" s="66" t="n">
        <x:f>E16*B17</x:f>
        <x:v>0</x:v>
      </x:c>
      <x:c r="F17" s="25"/>
      <x:c r="G17" s="25"/>
      <x:c r="H17" s="25"/>
      <x:c r="I17" s="25"/>
      <x:c r="J17" s="25"/>
      <x:c r="K17" s="25"/>
      <x:c r="L17" s="25"/>
      <x:c r="M17" s="25"/>
    </x:row>
    <x:row r="18" ht="15" hidden="0" customHeight="1">
      <x:c r="A18" s="49" t="str">
        <x:v>Aplicar mobilização mínima?</x:v>
      </x:c>
      <x:c r="B18" s="36" t="str">
        <x:v>Não</x:v>
      </x:c>
      <x:c r="C18" s="25"/>
      <x:c r="D18" s="30"/>
      <x:c r="E18" s="66"/>
      <x:c r="F18" s="25"/>
      <x:c r="G18" s="25"/>
      <x:c r="H18" s="25"/>
      <x:c r="I18" s="25"/>
      <x:c r="J18" s="25"/>
      <x:c r="K18" s="25"/>
      <x:c r="L18" s="25"/>
      <x:c r="M18" s="25"/>
    </x:row>
    <x:row r="19" ht="15" hidden="0" customHeight="1">
      <x:c r="A19" s="49" t="str">
        <x:v>Mobilização mínima</x:v>
      </x:c>
      <x:c r="B19" s="36" t="n">
        <x:v>2500</x:v>
      </x:c>
      <x:c r="C19" s="25" t="str">
        <x:v>R$</x:v>
      </x:c>
      <x:c r="D19" s="30"/>
      <x:c r="E19" s="66" t="n">
        <x:f>IF(B18="Sim",B19,0)</x:f>
        <x:v>0</x:v>
      </x:c>
      <x:c r="F19" s="25"/>
      <x:c r="G19" s="25"/>
      <x:c r="H19" s="25"/>
      <x:c r="I19" s="25"/>
      <x:c r="J19" s="25"/>
      <x:c r="K19" s="25"/>
      <x:c r="L19" s="25"/>
      <x:c r="M19" s="25"/>
    </x:row>
    <x:row r="20" ht="15" hidden="0" customHeight="1">
      <x:c r="A20" s="51" t="str">
        <x:v>TOTAL LOGÍSTICA / INSTALAÇÃO</x:v>
      </x:c>
      <x:c r="B20" s="52"/>
      <x:c r="C20" s="52"/>
      <x:c r="D20" s="53"/>
      <x:c r="E20" s="68" t="n">
        <x:f>IF(E16=0,0,IF(B18="Sim",MAX(E16+E17,B19),E16+E17))</x:f>
        <x:v>0</x:v>
      </x:c>
      <x:c r="F20" s="25"/>
      <x:c r="G20" s="25"/>
      <x:c r="H20" s="25"/>
      <x:c r="I20" s="25"/>
      <x:c r="J20" s="25"/>
      <x:c r="K20" s="25"/>
      <x:c r="L20" s="25"/>
      <x:c r="M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</x:row>
  </x:sheetData>
  <x:mergeCells>
    <x:mergeCell ref="A1:F1"/>
  </x:mergeCells>
  <x:dataValidations count="1">
    <x:dataValidation type="list" sqref="B18">
      <x:formula1>"Não,Sim"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15" hidden="0" customHeight="1">
      <x:c r="A1" s="24" t="str">
        <x:v>04 | REGRAS CURTAS PARA O ORÇAMENTISTA</x:v>
      </x:c>
      <x:c r="B1" s="24"/>
      <x:c r="C1" s="24"/>
      <x:c r="D1" s="24"/>
      <x:c r="E1" s="24"/>
      <x:c r="F1" s="24"/>
      <x:c r="G1" s="25"/>
      <x:c r="H1" s="25"/>
      <x:c r="I1" s="25"/>
      <x:c r="J1" s="25"/>
      <x:c r="K1" s="25"/>
      <x:c r="L1" s="25"/>
      <x:c r="M1" s="25"/>
    </x:row>
    <x:row r="2" ht="15" hidden="0" customHeight="1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</x:row>
    <x:row r="3" ht="15" hidden="0" customHeight="1">
      <x:c r="A3" s="46" t="str">
        <x:v>Regra</x:v>
      </x:c>
      <x:c r="B3" s="48" t="str">
        <x:v>Aplicação</x:v>
      </x:c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</x:row>
    <x:row r="4" ht="15" hidden="0" customHeight="1">
      <x:c r="A4" s="49" t="str">
        <x:v>Preço-base é venda</x:v>
      </x:c>
      <x:c r="B4" s="50" t="str">
        <x:v>Não aplicar 15% + margem novamente sobre preço-base ou preço manual de venda.</x:v>
      </x:c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</x:row>
    <x:row r="5" ht="15" hidden="0" customHeight="1">
      <x:c r="A5" s="49" t="str">
        <x:v>Custo é só trava</x:v>
      </x:c>
      <x:c r="B5" s="50" t="str">
        <x:v>Custo técnico serve para impedir preço inviável, não para obrigar multiplicador alto em todo item.</x:v>
      </x:c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</x:row>
    <x:row r="6" ht="15" hidden="0" customHeight="1">
      <x:c r="A6" s="49" t="str">
        <x:v>Logística uma vez</x:v>
      </x:c>
      <x:c r="B6" s="50" t="str">
        <x:v>KM, equipe, hotel, alimentação e equipamento entram somente na aba 03.</x:v>
      </x:c>
      <x:c r="C6" s="25"/>
      <x:c r="D6" s="25"/>
      <x:c r="E6" s="25"/>
      <x:c r="F6" s="25"/>
      <x:c r="G6" s="25"/>
      <x:c r="H6" s="25"/>
      <x:c r="I6" s="25"/>
      <x:c r="J6" s="25"/>
      <x:c r="K6" s="25"/>
      <x:c r="L6" s="25"/>
      <x:c r="M6" s="25"/>
    </x:row>
    <x:row r="7" ht="15" hidden="0" customHeight="1">
      <x:c r="A7" s="49" t="str">
        <x:v>Mobilização mínima</x:v>
      </x:c>
      <x:c r="B7" s="50" t="str">
        <x:v>Somente quando houver deslocamento/mobilização e fizer sentido comercial.</x:v>
      </x:c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</x:row>
    <x:row r="8" ht="15" hidden="0" customHeight="1">
      <x:c r="A8" s="49" t="str">
        <x:v>Projeto simples</x:v>
      </x:c>
      <x:c r="B8" s="50" t="str">
        <x:v>Usar Competitivo ou Ideal BINO.</x:v>
      </x:c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</x:row>
    <x:row r="9" ht="15" hidden="0" customHeight="1">
      <x:c r="A9" s="49" t="str">
        <x:v>Projeto complexo/distante</x:v>
      </x:c>
      <x:c r="B9" s="50" t="str">
        <x:v>Usar Premium ou preço manual validado.</x:v>
      </x:c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</x:row>
    <x:row r="10" ht="15" hidden="0" customHeight="1">
      <x:c r="A10" s="49" t="str">
        <x:v>Cotação específica</x:v>
      </x:c>
      <x:c r="B10" s="50" t="str">
        <x:v>Cotação recente do fornecedor prevalece sobre a base.</x:v>
      </x:c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</x:row>
    <x:row r="11" ht="15" hidden="0" customHeight="1">
      <x:c r="A11" s="49" t="str">
        <x:v>Sem referência</x:v>
      </x:c>
      <x:c r="B11" s="50" t="str">
        <x:v>Usar preço manual e marcar: VALOR ESTIMADO — NECESSITA COTAÇÃO OU VALIDAÇÃO INTERNA.</x:v>
      </x:c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</x:row>
    <x:row r="12" ht="15" hidden="0" customHeight="1">
      <x:c r="A12" s="51" t="str">
        <x:v>Grandes fachadas/estruturas</x:v>
      </x:c>
      <x:c r="B12" s="55" t="str">
        <x:v>Conferir estrutura, acesso e equipamento antes de fechar; não usar preço/m² cego.</x:v>
      </x:c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</x:row>
  </x:sheetData>
  <x:mergeCells>
    <x:mergeCell ref="A1:F1"/>
  </x:mergeCells>
  <x:pageMargins left="0.7" right="0.7" top="0.75" bottom="0.75" header="0.3" footer="0.3"/>
</x:worksheet>
</file>